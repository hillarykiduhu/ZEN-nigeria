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ascade_rice_husk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Decisions" sheetId="4" state="visible" r:id="rId4"/>
    <sheet xmlns:r="http://schemas.openxmlformats.org/officeDocument/2006/relationships" name="Cooking_demand" sheetId="5" state="visible" r:id="rId5"/>
    <sheet xmlns:r="http://schemas.openxmlformats.org/officeDocument/2006/relationships" name="Options_cooking_energy" sheetId="6" state="visible" r:id="rId6"/>
    <sheet xmlns:r="http://schemas.openxmlformats.org/officeDocument/2006/relationships" name="Options_husk_cap" sheetId="7" state="visible" r:id="rId7"/>
    <sheet xmlns:r="http://schemas.openxmlformats.org/officeDocument/2006/relationships" name="Options_improved_stove" sheetId="8" state="visible" r:id="rId8"/>
    <sheet xmlns:r="http://schemas.openxmlformats.org/officeDocument/2006/relationships" name="Options_stove_cost_life" sheetId="9" state="visible" r:id="rId9"/>
    <sheet xmlns:r="http://schemas.openxmlformats.org/officeDocument/2006/relationships" name="Options_lpg" sheetId="10" state="visible" r:id="rId10"/>
    <sheet xmlns:r="http://schemas.openxmlformats.org/officeDocument/2006/relationships" name="Options_lpg_stock" sheetId="11" state="visible" r:id="rId11"/>
    <sheet xmlns:r="http://schemas.openxmlformats.org/officeDocument/2006/relationships" name="Options_husk_collection" sheetId="12" state="visible" r:id="rId12"/>
    <sheet xmlns:r="http://schemas.openxmlformats.org/officeDocument/2006/relationships" name="Options_discount_rat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3" fontId="2" fillId="0" borderId="0" pivotButton="0" quotePrefix="0" xfId="0"/>
    <xf numFmtId="3" fontId="0" fillId="0" borderId="0" pivotButton="0" quotePrefix="0" xfId="0"/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4" customWidth="1" min="4" max="4"/>
    <col width="16" customWidth="1" min="5" max="5"/>
    <col width="14" customWidth="1" min="6" max="6"/>
    <col width="14" customWidth="1" min="7" max="7"/>
    <col width="16" customWidth="1" min="8" max="8"/>
    <col width="18" customWidth="1" min="9" max="9"/>
    <col width="14" customWidth="1" min="10" max="10"/>
    <col width="9" customWidth="1" min="11" max="11"/>
    <col width="10" customWidth="1" min="12" max="12"/>
    <col width="11" customWidth="1" min="13" max="13"/>
    <col width="70" customWidth="1" min="14" max="14"/>
  </cols>
  <sheetData>
    <row r="1">
      <c r="A1" s="1" t="inlineStr">
        <is>
          <t>ID</t>
        </is>
      </c>
      <c r="B1" s="1" t="inlineStr">
        <is>
          <t>Element</t>
        </is>
      </c>
      <c r="C1" s="1" t="inlineStr">
        <is>
          <t>ZEN-garden attribute</t>
        </is>
      </c>
      <c r="D1" s="1" t="inlineStr">
        <is>
          <t>Model unit</t>
        </is>
      </c>
      <c r="E1" s="1" t="inlineStr">
        <is>
          <t>Current value in model</t>
        </is>
      </c>
      <c r="F1" s="1" t="inlineStr">
        <is>
          <t>Status</t>
        </is>
      </c>
      <c r="G1" s="1" t="inlineStr">
        <is>
          <t>Sourced value</t>
        </is>
      </c>
      <c r="H1" s="1" t="inlineStr">
        <is>
          <t>Unit as published</t>
        </is>
      </c>
      <c r="I1" s="1" t="inlineStr">
        <is>
          <t>Source key (see Sources)</t>
        </is>
      </c>
      <c r="J1" s="1" t="inlineStr">
        <is>
          <t>Page / table</t>
        </is>
      </c>
      <c r="K1" s="1" t="inlineStr">
        <is>
          <t>Data year</t>
        </is>
      </c>
      <c r="L1" s="1" t="inlineStr">
        <is>
          <t>Price year (USD)</t>
        </is>
      </c>
      <c r="M1" s="1" t="inlineStr">
        <is>
          <t>Retrieved</t>
        </is>
      </c>
      <c r="N1" s="1" t="inlineStr">
        <is>
          <t>Notes / candidate sources</t>
        </is>
      </c>
    </row>
    <row r="2">
      <c r="A2" s="2" t="inlineStr">
        <is>
          <t>P01</t>
        </is>
      </c>
      <c r="B2" s="2" t="inlineStr">
        <is>
          <t>Energy system</t>
        </is>
      </c>
      <c r="C2" s="2" t="inlineStr">
        <is>
          <t>reference_year</t>
        </is>
      </c>
      <c r="D2" s="2" t="inlineStr">
        <is>
          <t>year</t>
        </is>
      </c>
      <c r="E2" s="3" t="n">
        <v>2025</v>
      </c>
      <c r="F2" s="2" t="inlineStr">
        <is>
          <t>Placeholder</t>
        </is>
      </c>
      <c r="G2" s="2" t="n"/>
      <c r="H2" s="2" t="n"/>
      <c r="I2" s="2" t="n"/>
      <c r="J2" s="2" t="n"/>
      <c r="K2" s="2" t="n"/>
      <c r="L2" s="2" t="n"/>
      <c r="M2" s="2" t="n"/>
      <c r="N2" s="2" t="inlineStr">
        <is>
          <t>Decided 2025.</t>
        </is>
      </c>
    </row>
    <row r="3">
      <c r="A3" s="2" t="inlineStr">
        <is>
          <t>P02</t>
        </is>
      </c>
      <c r="B3" s="2" t="inlineStr">
        <is>
          <t>Energy system</t>
        </is>
      </c>
      <c r="C3" s="2" t="inlineStr">
        <is>
          <t>currency</t>
        </is>
      </c>
      <c r="D3" s="2" t="inlineStr">
        <is>
          <t>USD</t>
        </is>
      </c>
      <c r="E3" s="3" t="inlineStr">
        <is>
          <t>USD</t>
        </is>
      </c>
      <c r="F3" s="2" t="inlineStr">
        <is>
          <t>Placeholder</t>
        </is>
      </c>
      <c r="G3" s="2" t="n"/>
      <c r="H3" s="2" t="n"/>
      <c r="I3" s="2" t="n"/>
      <c r="J3" s="2" t="n"/>
      <c r="K3" s="2" t="n"/>
      <c r="L3" s="2" t="n"/>
      <c r="M3" s="2" t="n"/>
      <c r="N3" s="2" t="inlineStr">
        <is>
          <t>Decided USD. Price year still to be fixed (Decisions sheet).</t>
        </is>
      </c>
    </row>
    <row r="4">
      <c r="A4" s="2" t="inlineStr">
        <is>
          <t>P03</t>
        </is>
      </c>
      <c r="B4" s="2" t="inlineStr">
        <is>
          <t>Energy system</t>
        </is>
      </c>
      <c r="C4" s="2" t="inlineStr">
        <is>
          <t>discount_rate</t>
        </is>
      </c>
      <c r="D4" s="2" t="inlineStr">
        <is>
          <t>1</t>
        </is>
      </c>
      <c r="E4" s="3" t="n">
        <v>0.1</v>
      </c>
      <c r="F4" s="2" t="inlineStr">
        <is>
          <t>Decision</t>
        </is>
      </c>
      <c r="G4" s="2" t="inlineStr">
        <is>
          <t>10% base case (sensitivity 5-15%)</t>
        </is>
      </c>
      <c r="H4" s="2" t="inlineStr">
        <is>
          <t>per year</t>
        </is>
      </c>
      <c r="I4" s="2" t="inlineStr">
        <is>
          <t>ESONE_Nigeria_SI</t>
        </is>
      </c>
      <c r="J4" s="2" t="inlineStr">
        <is>
          <t>Supplementary Note 3 and Table 1, p. 5</t>
        </is>
      </c>
      <c r="K4" s="2" t="n"/>
      <c r="L4" s="2" t="n"/>
      <c r="M4" s="2" t="inlineStr">
        <is>
          <t>2026-10-29</t>
        </is>
      </c>
      <c r="N4" s="2" t="inlineStr">
        <is>
          <t>Hilla chose the Nigerian literature value (2026-10-29). ESONE-Nigeria (Energy Environ. Sci. 2021) uses 10% base, citing Fichtner, with 5-15% in other studies. Real or nominal is not stated in the source. Run 5%, 8% and 15% as sensitivities.</t>
        </is>
      </c>
    </row>
    <row r="5">
      <c r="A5" s="2" t="inlineStr">
        <is>
          <t>P04</t>
        </is>
      </c>
      <c r="B5" s="2" t="inlineStr">
        <is>
          <t>rice husk (processing_residue)</t>
        </is>
      </c>
      <c r="C5" s="2" t="inlineStr">
        <is>
          <t>availability_import_yearly</t>
        </is>
      </c>
      <c r="D5" s="2" t="inlineStr">
        <is>
          <t>GWh/yr</t>
        </is>
      </c>
      <c r="E5" s="3" t="n">
        <v>3007.8</v>
      </c>
      <c r="F5" s="2" t="inlineStr">
        <is>
          <t>Decision</t>
        </is>
      </c>
      <c r="G5" s="2" t="inlineStr">
        <is>
          <t>U = 25% of R</t>
        </is>
      </c>
      <c r="H5" s="2" t="inlineStr">
        <is>
          <t>GWh/yr</t>
        </is>
      </c>
      <c r="I5" s="2" t="inlineStr">
        <is>
          <t>Okoro2024_losses; Ukoba2023; Iye2013</t>
        </is>
      </c>
      <c r="J5" s="2" t="inlineStr">
        <is>
          <t>Cascade_rice_husk</t>
        </is>
      </c>
      <c r="K5" s="2" t="n">
        <v>2024</v>
      </c>
      <c r="L5" s="2" t="n">
        <v>2025</v>
      </c>
      <c r="M5" s="2" t="inlineStr">
        <is>
          <t>2026-10-29</t>
        </is>
      </c>
      <c r="N5" s="2" t="inlineStr">
        <is>
          <t>9,129,900 t x 0.26 x 0.4 = 949,510 t recoverable; minus 25% competing use = 712,132 t; x 15.205 MJ/kg / 3600 = 3,007.8 GWh/yr. Replaces 4,010.4 (U = 0). The 25% is an all-residue average, not husk-specific.</t>
        </is>
      </c>
    </row>
    <row r="6">
      <c r="A6" s="2" t="inlineStr">
        <is>
          <t>P05</t>
        </is>
      </c>
      <c r="B6" s="2" t="inlineStr">
        <is>
          <t>rice husk (processing_residue)</t>
        </is>
      </c>
      <c r="C6" s="2" t="inlineStr">
        <is>
          <t>price_import</t>
        </is>
      </c>
      <c r="D6" s="2" t="inlineStr">
        <is>
          <t>kUSD/GWh</t>
        </is>
      </c>
      <c r="E6" s="3" t="n">
        <v>0.8505</v>
      </c>
      <c r="F6" s="2" t="inlineStr">
        <is>
          <t>Decision</t>
        </is>
      </c>
      <c r="G6" s="2" t="inlineStr">
        <is>
          <t>2.64 USD/t (Ghana, 2014)</t>
        </is>
      </c>
      <c r="H6" s="2" t="inlineStr">
        <is>
          <t>kUSD/GWh of residue</t>
        </is>
      </c>
      <c r="I6" s="2" t="inlineStr">
        <is>
          <t>DTU_GhanaLogistics; FRED_CPIU</t>
        </is>
      </c>
      <c r="J6" s="2" t="inlineStr">
        <is>
          <t>Options_husk_collection</t>
        </is>
      </c>
      <c r="K6" s="2" t="n"/>
      <c r="L6" s="2" t="n">
        <v>2025</v>
      </c>
      <c r="M6" s="2" t="inlineStr">
        <is>
          <t>2026-10-29</t>
        </is>
      </c>
      <c r="N6" s="2" t="inlineStr">
        <is>
          <t>2.64 USD/t / 4.2236 MWh/t = 0.6251 kUSD/GWh in 2014 USD; x CPI 1.3606 (US CPI-U 2014 mean 236.736, 2025 mean 322.115 from FRED semiannual values) = 0.8505 kUSD/GWh in 2025 USD. Ghana mill-to-plant gasifier logistics (10 km round trip), applied to Nigerian husk delivered to stoves as a proxy.</t>
        </is>
      </c>
    </row>
    <row r="7">
      <c r="A7" s="2" t="inlineStr">
        <is>
          <t>P06</t>
        </is>
      </c>
      <c r="B7" s="2" t="inlineStr">
        <is>
          <t>collect_processing_residue</t>
        </is>
      </c>
      <c r="C7" s="2" t="inlineStr">
        <is>
          <t>conversion_factor</t>
        </is>
      </c>
      <c r="D7" s="2" t="inlineStr">
        <is>
          <t>GWh/GWh</t>
        </is>
      </c>
      <c r="E7" s="3" t="n">
        <v>1</v>
      </c>
      <c r="F7" s="2" t="inlineStr">
        <is>
          <t>Decision</t>
        </is>
      </c>
      <c r="G7" s="2" t="inlineStr">
        <is>
          <t>No loss (0%)</t>
        </is>
      </c>
      <c r="H7" s="2" t="inlineStr">
        <is>
          <t>GWh residue per GWh</t>
        </is>
      </c>
      <c r="I7" s="2" t="inlineStr">
        <is>
          <t>Okoro2024_losses (10% option not used)</t>
        </is>
      </c>
      <c r="J7" s="2" t="inlineStr">
        <is>
          <t>Options_husk_collection</t>
        </is>
      </c>
      <c r="K7" s="2" t="n"/>
      <c r="L7" s="2" t="n">
        <v>2025</v>
      </c>
      <c r="M7" s="2" t="inlineStr">
        <is>
          <t>2026-10-29</t>
        </is>
      </c>
      <c r="N7" s="2" t="inlineStr">
        <is>
          <t>Hilla chose 0% loss on 2026-10-29; the 10% option (factor 1.1111) is not applied.</t>
        </is>
      </c>
    </row>
    <row r="8">
      <c r="A8" s="2" t="inlineStr">
        <is>
          <t>P07</t>
        </is>
      </c>
      <c r="B8" s="2" t="inlineStr">
        <is>
          <t>collect_processing_residue</t>
        </is>
      </c>
      <c r="C8" s="2" t="inlineStr">
        <is>
          <t>capex_specific_conversion</t>
        </is>
      </c>
      <c r="D8" s="2" t="inlineStr">
        <is>
          <t>USD/kW</t>
        </is>
      </c>
      <c r="E8" s="3" t="n">
        <v>0</v>
      </c>
      <c r="F8" s="2" t="inlineStr">
        <is>
          <t>Decision</t>
        </is>
      </c>
      <c r="G8" s="2" t="inlineStr">
        <is>
          <t>0</t>
        </is>
      </c>
      <c r="H8" s="2" t="inlineStr">
        <is>
          <t>USD/kW</t>
        </is>
      </c>
      <c r="I8" s="2" t="inlineStr">
        <is>
          <t>Assumption</t>
        </is>
      </c>
      <c r="J8" s="2" t="inlineStr">
        <is>
          <t>Options_husk_collection</t>
        </is>
      </c>
      <c r="K8" s="2" t="n"/>
      <c r="L8" s="2" t="n">
        <v>2025</v>
      </c>
      <c r="M8" s="2" t="inlineStr">
        <is>
          <t>2026-10-29</t>
        </is>
      </c>
      <c r="N8" s="2" t="inlineStr">
        <is>
          <t>Hilla chose capex 0 for now (2026-10-29).</t>
        </is>
      </c>
    </row>
    <row r="9">
      <c r="A9" s="2" t="inlineStr">
        <is>
          <t>P08</t>
        </is>
      </c>
      <c r="B9" s="2" t="inlineStr">
        <is>
          <t>collect_processing_residue</t>
        </is>
      </c>
      <c r="C9" s="2" t="inlineStr">
        <is>
          <t>lifetime</t>
        </is>
      </c>
      <c r="D9" s="2" t="inlineStr">
        <is>
          <t>years</t>
        </is>
      </c>
      <c r="E9" s="3" t="n">
        <v>15</v>
      </c>
      <c r="F9" s="2" t="inlineStr">
        <is>
          <t>Placeholder</t>
        </is>
      </c>
      <c r="G9" s="2" t="n"/>
      <c r="H9" s="2" t="n"/>
      <c r="I9" s="2" t="n"/>
      <c r="J9" s="2" t="n"/>
      <c r="K9" s="2" t="n"/>
      <c r="L9" s="2" t="n">
        <v>2025</v>
      </c>
      <c r="M9" s="2" t="n"/>
      <c r="N9" s="2" t="inlineStr"/>
    </row>
    <row r="10">
      <c r="A10" s="2" t="inlineStr">
        <is>
          <t>P09</t>
        </is>
      </c>
      <c r="B10" s="2" t="inlineStr">
        <is>
          <t>improved_stove_biomass</t>
        </is>
      </c>
      <c r="C10" s="2" t="inlineStr">
        <is>
          <t>conversion_factor</t>
        </is>
      </c>
      <c r="D10" s="2" t="inlineStr">
        <is>
          <t>GWh/GWh</t>
        </is>
      </c>
      <c r="E10" s="3" t="n">
        <v>4.7393</v>
      </c>
      <c r="F10" s="2" t="inlineStr">
        <is>
          <t>Decision</t>
        </is>
      </c>
      <c r="G10" s="2" t="n">
        <v>0.211</v>
      </c>
      <c r="H10" s="2" t="inlineStr">
        <is>
          <t>efficiency (share), measured</t>
        </is>
      </c>
      <c r="I10" s="2" t="inlineStr">
        <is>
          <t>F1000_GasifierReview (Nwakaire and Ugwuishiwu 2015)</t>
        </is>
      </c>
      <c r="J10" s="2" t="inlineStr">
        <is>
          <t>review Table 3: 21.10%</t>
        </is>
      </c>
      <c r="K10" s="2" t="n"/>
      <c r="L10" s="2" t="n">
        <v>2025</v>
      </c>
      <c r="M10" s="2" t="inlineStr">
        <is>
          <t>2026-10-28</t>
        </is>
      </c>
      <c r="N10" s="2" t="inlineStr">
        <is>
          <t>1/0.211 = 4.7393. Natural cross-draft rice husk stove (briquettes), Nigeria, lab test. Hilla wrote 21.2% on 2026-10-28; the source gives 21.10%, so 21.1% is used until a source for 21.2% is identified.</t>
        </is>
      </c>
    </row>
    <row r="11">
      <c r="A11" s="2" t="inlineStr">
        <is>
          <t>P10</t>
        </is>
      </c>
      <c r="B11" s="2" t="inlineStr">
        <is>
          <t>improved_stove_biomass</t>
        </is>
      </c>
      <c r="C11" s="2" t="inlineStr">
        <is>
          <t>capex_specific_conversion</t>
        </is>
      </c>
      <c r="D11" s="2" t="inlineStr">
        <is>
          <t>USD/kW</t>
        </is>
      </c>
      <c r="E11" s="3" t="n">
        <v>262.8</v>
      </c>
      <c r="F11" s="2" t="inlineStr">
        <is>
          <t>Decision</t>
        </is>
      </c>
      <c r="G11" s="2" t="inlineStr">
        <is>
          <t>USD 30 per stove</t>
        </is>
      </c>
      <c r="H11" s="2" t="inlineStr">
        <is>
          <t>USD/stove; converted to USD/kW</t>
        </is>
      </c>
      <c r="I11" s="2" t="inlineStr">
        <is>
          <t>ESMAP2015_StateOfSector; CLASP2017; CBN2017_AAR; FRED_CPIU</t>
        </is>
      </c>
      <c r="J11" s="2" t="inlineStr">
        <is>
          <t>Options_stove_cost_life</t>
        </is>
      </c>
      <c r="K11" s="2" t="n"/>
      <c r="L11" s="2" t="n">
        <v>2025</v>
      </c>
      <c r="M11" s="2" t="inlineStr">
        <is>
          <t>2026-10-28</t>
        </is>
      </c>
      <c r="N11" s="2" t="inlineStr">
        <is>
          <t>USD 30 chosen by Hilla as the middle of the range (CLASP NGN 3,000-15,000 at CBN I&amp;E 367.84 = USD 8.2-40.8 in 2017, x1.314 CPI = USD 10.7-53.6 in 2025; ESMAP basic-to-gasifier USD 3-120). Option 1 capacity: 30 / (1000 kWh/8760 h = 0.1142 kW) = 262.8 USD/kW = 262.8 MUSD/GW. Assumes one stove per household and max_load 1.</t>
        </is>
      </c>
    </row>
    <row r="12">
      <c r="A12" s="2" t="inlineStr">
        <is>
          <t>P11</t>
        </is>
      </c>
      <c r="B12" s="2" t="inlineStr">
        <is>
          <t>improved_stove_biomass</t>
        </is>
      </c>
      <c r="C12" s="2" t="inlineStr">
        <is>
          <t>lifetime</t>
        </is>
      </c>
      <c r="D12" s="2" t="inlineStr">
        <is>
          <t>years</t>
        </is>
      </c>
      <c r="E12" s="3" t="n">
        <v>5</v>
      </c>
      <c r="F12" s="2" t="inlineStr">
        <is>
          <t>Decision</t>
        </is>
      </c>
      <c r="G12" s="2" t="inlineStr">
        <is>
          <t>5 years (illustrative)</t>
        </is>
      </c>
      <c r="H12" s="2" t="inlineStr">
        <is>
          <t>years</t>
        </is>
      </c>
      <c r="I12" s="2" t="inlineStr">
        <is>
          <t>GS408_Cookstove; BerkouwerDean2026</t>
        </is>
      </c>
      <c r="J12" s="2" t="inlineStr">
        <is>
          <t>Options_stove_cost_life</t>
        </is>
      </c>
      <c r="K12" s="2" t="n"/>
      <c r="L12" s="2" t="n">
        <v>2025</v>
      </c>
      <c r="M12" s="2" t="inlineStr">
        <is>
          <t>2026-10-28</t>
        </is>
      </c>
      <c r="N12" s="2" t="inlineStr">
        <is>
          <t>Hilla chose 5 years; evidence range 3.1-6 years (Kenya charcoal stove) and a 5-year example in Gold Standard 408. Constant efficiency assumed over life.</t>
        </is>
      </c>
    </row>
    <row r="13">
      <c r="A13" s="2" t="inlineStr">
        <is>
          <t>P12</t>
        </is>
      </c>
      <c r="B13" s="2" t="inlineStr">
        <is>
          <t>improved_stove_biomass</t>
        </is>
      </c>
      <c r="C13" s="2" t="inlineStr">
        <is>
          <t>capacity_existing</t>
        </is>
      </c>
      <c r="D13" s="2" t="inlineStr">
        <is>
          <t>GW</t>
        </is>
      </c>
      <c r="E13" s="3" t="n">
        <v>0</v>
      </c>
      <c r="F13" s="2" t="inlineStr">
        <is>
          <t>Placeholder</t>
        </is>
      </c>
      <c r="G13" s="2" t="n"/>
      <c r="H13" s="2" t="n"/>
      <c r="I13" s="2" t="n"/>
      <c r="J13" s="2" t="n"/>
      <c r="K13" s="2" t="n"/>
      <c r="L13" s="2" t="n">
        <v>2025</v>
      </c>
      <c r="M13" s="2" t="n"/>
      <c r="N13" s="2" t="inlineStr">
        <is>
          <t>GHS-Panel W5 Table 3.6: manufactured biomass stove is 0.1% of households as primary stove; ~0 for stage 1.</t>
        </is>
      </c>
    </row>
    <row r="14">
      <c r="A14" s="2" t="inlineStr">
        <is>
          <t>P13</t>
        </is>
      </c>
      <c r="B14" s="2" t="inlineStr">
        <is>
          <t>lpg</t>
        </is>
      </c>
      <c r="C14" s="2" t="inlineStr">
        <is>
          <t>price_import</t>
        </is>
      </c>
      <c r="D14" s="2" t="inlineStr">
        <is>
          <t>kUSD/GWh</t>
        </is>
      </c>
      <c r="E14" s="3" t="n">
        <v>71.55</v>
      </c>
      <c r="F14" s="2" t="inlineStr">
        <is>
          <t>Decision</t>
        </is>
      </c>
      <c r="G14" s="2" t="inlineStr">
        <is>
          <t>12-month mean NGN 17,828.62 per 12.5 kg</t>
        </is>
      </c>
      <c r="H14" s="2" t="inlineStr">
        <is>
          <t>NGN/12.5 kg refill -&gt; kUSD/GWh</t>
        </is>
      </c>
      <c r="I14" s="2" t="inlineStr">
        <is>
          <t>NBS_LPG_Dec2025; CBN2025_avg_currencyapi; IPCC2006_Vol2_T1.2</t>
        </is>
      </c>
      <c r="J14" s="2" t="inlineStr">
        <is>
          <t>NBS report p. 10 (12 months, Jan-Dec 2025)</t>
        </is>
      </c>
      <c r="K14" s="2" t="n"/>
      <c r="L14" s="2" t="n">
        <v>2025</v>
      </c>
      <c r="M14" s="2" t="inlineStr">
        <is>
          <t>2026-10-28</t>
        </is>
      </c>
      <c r="N14" s="2" t="inlineStr">
        <is>
          <t>Mean of 12 NBS monthly 12.5 kg averages = 17,828.62 NGN = 1,426.3 NGN/kg; / 1,517.09 NGN/USD = 0.9401 USD/kg; x 76,110 kg/GWh (NCV 47.3 MJ/kg) = 71.55 kUSD/GWh (USD 19.9/GJ). Retail refill price including distribution margin, not an import-parity price.</t>
        </is>
      </c>
    </row>
    <row r="15">
      <c r="A15" s="2" t="inlineStr">
        <is>
          <t>P14</t>
        </is>
      </c>
      <c r="B15" s="2" t="inlineStr">
        <is>
          <t>lpg</t>
        </is>
      </c>
      <c r="C15" s="2" t="inlineStr">
        <is>
          <t>carbon_intensity_carrier_import</t>
        </is>
      </c>
      <c r="D15" s="2" t="inlineStr">
        <is>
          <t>kt CO2/GWh</t>
        </is>
      </c>
      <c r="E15" s="3" t="n">
        <v>0.22716</v>
      </c>
      <c r="F15" s="2" t="inlineStr">
        <is>
          <t>Decision</t>
        </is>
      </c>
      <c r="G15" s="2" t="inlineStr">
        <is>
          <t>63,100 kg CO2/TJ</t>
        </is>
      </c>
      <c r="H15" s="2" t="inlineStr">
        <is>
          <t>kilotons/GWh</t>
        </is>
      </c>
      <c r="I15" s="2" t="inlineStr">
        <is>
          <t>IPCC2006_Vol2_T1.2</t>
        </is>
      </c>
      <c r="J15" s="2" t="inlineStr">
        <is>
          <t>Table 1.2</t>
        </is>
      </c>
      <c r="K15" s="2" t="n"/>
      <c r="L15" s="2" t="n">
        <v>2025</v>
      </c>
      <c r="M15" s="2" t="inlineStr">
        <is>
          <t>2026-10-28</t>
        </is>
      </c>
      <c r="N15" s="2" t="inlineStr">
        <is>
          <t>63.1 t/TJ x 3.6 TJ/GWh = 227.16 t/GWh = 0.22716 kt/GWh. Taken from a slide deck reproducing the IPCC table; verify against the IPCC volume.</t>
        </is>
      </c>
    </row>
    <row r="16">
      <c r="A16" s="2" t="inlineStr">
        <is>
          <t>P15</t>
        </is>
      </c>
      <c r="B16" s="2" t="inlineStr">
        <is>
          <t>lpg_stove</t>
        </is>
      </c>
      <c r="C16" s="2" t="inlineStr">
        <is>
          <t>conversion_factor</t>
        </is>
      </c>
      <c r="D16" s="2" t="inlineStr">
        <is>
          <t>GWh/GWh</t>
        </is>
      </c>
      <c r="E16" s="3" t="n">
        <v>2</v>
      </c>
      <c r="F16" s="2" t="inlineStr">
        <is>
          <t>Decision</t>
        </is>
      </c>
      <c r="G16" s="2" t="inlineStr">
        <is>
          <t>50%</t>
        </is>
      </c>
      <c r="H16" s="2" t="inlineStr">
        <is>
          <t>efficiency</t>
        </is>
      </c>
      <c r="I16" s="2" t="inlineStr">
        <is>
          <t>OnStove_LPG</t>
        </is>
      </c>
      <c r="J16" s="2" t="inlineStr">
        <is>
          <t>onstove.LPG defaults</t>
        </is>
      </c>
      <c r="K16" s="2" t="n"/>
      <c r="L16" s="2" t="n">
        <v>2025</v>
      </c>
      <c r="M16" s="2" t="inlineStr">
        <is>
          <t>2026-10-28</t>
        </is>
      </c>
      <c r="N16" s="2" t="inlineStr">
        <is>
          <t>Hilla chose 50% for now (2026-10-28); literature range 55-60% (Energypedia, GIZ HERA 2014). Revisit.</t>
        </is>
      </c>
    </row>
    <row r="17">
      <c r="A17" s="2" t="inlineStr">
        <is>
          <t>P16</t>
        </is>
      </c>
      <c r="B17" s="2" t="inlineStr">
        <is>
          <t>lpg_stove</t>
        </is>
      </c>
      <c r="C17" s="2" t="inlineStr">
        <is>
          <t>capex_specific_conversion</t>
        </is>
      </c>
      <c r="D17" s="2" t="inlineStr">
        <is>
          <t>USD/kW</t>
        </is>
      </c>
      <c r="E17" s="3" t="n">
        <v>385.4</v>
      </c>
      <c r="F17" s="2" t="inlineStr">
        <is>
          <t>Decision</t>
        </is>
      </c>
      <c r="G17" s="2" t="inlineStr">
        <is>
          <t>USD 44 per stove</t>
        </is>
      </c>
      <c r="H17" s="2" t="inlineStr">
        <is>
          <t>USD/stove -&gt; USD/kW</t>
        </is>
      </c>
      <c r="I17" s="2" t="inlineStr">
        <is>
          <t>OnStove_LPG</t>
        </is>
      </c>
      <c r="J17" s="2" t="inlineStr">
        <is>
          <t>onstove.LPG defaults</t>
        </is>
      </c>
      <c r="K17" s="2" t="n"/>
      <c r="L17" s="2" t="n">
        <v>2025</v>
      </c>
      <c r="M17" s="2" t="inlineStr">
        <is>
          <t>2026-10-28</t>
        </is>
      </c>
      <c r="N17" s="2" t="inlineStr">
        <is>
          <t>44 / 0.1142 kW (1000 kWh/8760 h per household, Option 1) = 385.4 USD/kW = 385.4 MUSD/GW. USD year of the OnStove default is not stated; treated as 2025 USD.</t>
        </is>
      </c>
    </row>
    <row r="18">
      <c r="A18" s="2" t="inlineStr">
        <is>
          <t>P17</t>
        </is>
      </c>
      <c r="B18" s="2" t="inlineStr">
        <is>
          <t>lpg_stove</t>
        </is>
      </c>
      <c r="C18" s="2" t="inlineStr">
        <is>
          <t>lifetime</t>
        </is>
      </c>
      <c r="D18" s="2" t="inlineStr">
        <is>
          <t>years</t>
        </is>
      </c>
      <c r="E18" s="3" t="n">
        <v>7</v>
      </c>
      <c r="F18" s="2" t="inlineStr">
        <is>
          <t>Assumption</t>
        </is>
      </c>
      <c r="G18" s="2" t="inlineStr">
        <is>
          <t>7 years</t>
        </is>
      </c>
      <c r="H18" s="2" t="inlineStr">
        <is>
          <t>years</t>
        </is>
      </c>
      <c r="I18" s="2" t="inlineStr">
        <is>
          <t>OnStove_LPG</t>
        </is>
      </c>
      <c r="J18" s="2" t="inlineStr">
        <is>
          <t>onstove.LPG defaults</t>
        </is>
      </c>
      <c r="K18" s="2" t="n"/>
      <c r="L18" s="2" t="n">
        <v>2025</v>
      </c>
      <c r="M18" s="2" t="inlineStr">
        <is>
          <t>2026-10-28</t>
        </is>
      </c>
      <c r="N18" s="2" t="inlineStr">
        <is>
          <t>Not chosen by Hilla; taken with the USD 44 cost from the same OnStove default. Confirm.</t>
        </is>
      </c>
    </row>
    <row r="19">
      <c r="A19" s="2" t="inlineStr">
        <is>
          <t>P18</t>
        </is>
      </c>
      <c r="B19" s="2" t="inlineStr">
        <is>
          <t>lpg_stove</t>
        </is>
      </c>
      <c r="C19" s="2" t="inlineStr">
        <is>
          <t>capacity_existing</t>
        </is>
      </c>
      <c r="D19" s="2" t="inlineStr">
        <is>
          <t>GW</t>
        </is>
      </c>
      <c r="E19" s="3" t="n">
        <v>1.3618</v>
      </c>
      <c r="F19" s="2" t="inlineStr">
        <is>
          <t>Decision</t>
        </is>
      </c>
      <c r="G19" s="2" t="inlineStr">
        <is>
          <t>22.6% of households (primary stove)</t>
        </is>
      </c>
      <c r="H19" s="2" t="inlineStr">
        <is>
          <t>GW of average useful heat</t>
        </is>
      </c>
      <c r="I19" s="2" t="inlineStr">
        <is>
          <t>NBS_GHSPanelW5</t>
        </is>
      </c>
      <c r="J19" s="2" t="inlineStr">
        <is>
          <t>Table 3.6 (Appendix 1, p. 96); text p. 27</t>
        </is>
      </c>
      <c r="K19" s="2" t="n"/>
      <c r="L19" s="2" t="n">
        <v>2025</v>
      </c>
      <c r="M19" s="2" t="inlineStr">
        <is>
          <t>2026-10-28</t>
        </is>
      </c>
      <c r="N19" s="2" t="inlineStr">
        <is>
          <t>Households = 237.5277 million / 4.5 = 52.78 million. LPG/natural gas as primary cookstove 22.6% = 11.93 million households x 0.1142 kW (1000 kWh/8760 h) = 1.3618 GW. Written to lpg_stove/capacity_existing.csv with year_construction 2022 (ASSUMPTION: 3 years old in 2025, 7-year life, so 4 years remain). Chosen by Claude as the default; alternative 23.2% (Table 3.8, households using LPG as a cooking fuel) gives 1.398 GW. ZEN-garden still charges capex on existing capacity in the cost totals, but it is a constant that does not change decisions.</t>
        </is>
      </c>
    </row>
    <row r="20">
      <c r="A20" s="2" t="inlineStr">
        <is>
          <t>P19</t>
        </is>
      </c>
      <c r="B20" s="2" t="inlineStr">
        <is>
          <t>cooking_service</t>
        </is>
      </c>
      <c r="C20" s="2" t="inlineStr">
        <is>
          <t>demand</t>
        </is>
      </c>
      <c r="D20" s="2" t="inlineStr">
        <is>
          <t>GW</t>
        </is>
      </c>
      <c r="E20" s="3" t="n">
        <v>6.0256</v>
      </c>
      <c r="F20" s="2" t="inlineStr">
        <is>
          <t>Decision</t>
        </is>
      </c>
      <c r="G20" s="2" t="n">
        <v>6.0256</v>
      </c>
      <c r="H20" s="2" t="inlineStr">
        <is>
          <t>GW (derived)</t>
        </is>
      </c>
      <c r="I20" s="2" t="inlineStr">
        <is>
          <t>Ibitoye2013 + WorldBank_pop + NDHS2024_SR294</t>
        </is>
      </c>
      <c r="J20" s="2" t="inlineStr">
        <is>
          <t>Cooking_demand sheet</t>
        </is>
      </c>
      <c r="K20" s="2" t="n">
        <v>2025</v>
      </c>
      <c r="L20" s="2" t="n">
        <v>2025</v>
      </c>
      <c r="M20" s="2" t="inlineStr">
        <is>
          <t>2025-10-28</t>
        </is>
      </c>
      <c r="N20" s="2" t="inlineStr">
        <is>
          <t>Central value (option A): 800 MJ/cap/yr x 237,527,782 persons /3.6 /8760 h. Upper scenario 11.66 GW (option C2). Chosen by Hilla 2026-10-28.</t>
        </is>
      </c>
    </row>
    <row r="21">
      <c r="A21" s="2" t="inlineStr">
        <is>
          <t>P20</t>
        </is>
      </c>
      <c r="B21" s="2" t="inlineStr">
        <is>
          <t>cooking_service</t>
        </is>
      </c>
      <c r="C21" s="2" t="inlineStr">
        <is>
          <t>price_shed_demand</t>
        </is>
      </c>
      <c r="D21" s="2" t="inlineStr">
        <is>
          <t>kUSD/GWh</t>
        </is>
      </c>
      <c r="E21" s="3" t="inlineStr">
        <is>
          <t>inf</t>
        </is>
      </c>
      <c r="F21" s="2" t="inlineStr">
        <is>
          <t>Placeholder</t>
        </is>
      </c>
      <c r="G21" s="2" t="n"/>
      <c r="H21" s="2" t="n"/>
      <c r="I21" s="2" t="n"/>
      <c r="J21" s="2" t="n"/>
      <c r="K21" s="2" t="n"/>
      <c r="L21" s="2" t="n">
        <v>2025</v>
      </c>
      <c r="M21" s="2" t="n"/>
      <c r="N21" s="2" t="inlineStr">
        <is>
          <t>Keep inf (demand must be met) until an economic value is chosen.</t>
        </is>
      </c>
    </row>
    <row r="22">
      <c r="A22" s="2" t="inlineStr">
        <is>
          <t>P21</t>
        </is>
      </c>
      <c r="B22" s="2" t="inlineStr">
        <is>
          <t>cooking_service (input)</t>
        </is>
      </c>
      <c r="C22" s="2" t="inlineStr">
        <is>
          <t>population, Nigeria 2025</t>
        </is>
      </c>
      <c r="D22" s="2" t="inlineStr">
        <is>
          <t>persons</t>
        </is>
      </c>
      <c r="E22" s="2" t="n"/>
      <c r="F22" s="2" t="inlineStr">
        <is>
          <t>Found</t>
        </is>
      </c>
      <c r="G22" s="3" t="n">
        <v>237527782</v>
      </c>
      <c r="H22" s="2" t="inlineStr">
        <is>
          <t>persons</t>
        </is>
      </c>
      <c r="I22" s="2" t="inlineStr">
        <is>
          <t>WorldBank_pop</t>
        </is>
      </c>
      <c r="J22" s="2" t="inlineStr">
        <is>
          <t>(primary table not opened by me)</t>
        </is>
      </c>
      <c r="K22" s="2" t="n">
        <v>2025</v>
      </c>
      <c r="L22" s="2" t="n">
        <v>2025</v>
      </c>
      <c r="M22" s="2" t="inlineStr">
        <is>
          <t>2025-10-28</t>
        </is>
      </c>
      <c r="N22" s="2" t="inlineStr">
        <is>
          <t>237,527,782 persons in 2025, World Bank data as confirmed by Hilla. Matches the figure quoted via Worldometer/Leadership, which is dropped as a source.</t>
        </is>
      </c>
    </row>
    <row r="23">
      <c r="A23" s="2" t="inlineStr">
        <is>
          <t>P22</t>
        </is>
      </c>
      <c r="B23" s="2" t="inlineStr">
        <is>
          <t>cooking_service (input)</t>
        </is>
      </c>
      <c r="C23" s="2" t="inlineStr">
        <is>
          <t>mean household size</t>
        </is>
      </c>
      <c r="D23" s="2" t="inlineStr">
        <is>
          <t>persons/household</t>
        </is>
      </c>
      <c r="E23" s="2" t="n"/>
      <c r="F23" s="2" t="inlineStr">
        <is>
          <t>Found</t>
        </is>
      </c>
      <c r="G23" s="3" t="n">
        <v>4.5</v>
      </c>
      <c r="H23" s="2" t="inlineStr">
        <is>
          <t>persons/household</t>
        </is>
      </c>
      <c r="I23" s="2" t="inlineStr">
        <is>
          <t>NDHS2024_SR294</t>
        </is>
      </c>
      <c r="J23" s="2" t="inlineStr">
        <is>
          <t>p. 2</t>
        </is>
      </c>
      <c r="K23" s="2" t="n">
        <v>2024</v>
      </c>
      <c r="L23" s="2" t="n">
        <v>2025</v>
      </c>
      <c r="M23" s="2" t="inlineStr">
        <is>
          <t>2025-10-28</t>
        </is>
      </c>
      <c r="N23" s="2" t="inlineStr">
        <is>
          <t>Households have an average of 4.5 members. Fieldwork Dec 2023 to May 2024; 40,047 households.</t>
        </is>
      </c>
    </row>
    <row r="24">
      <c r="A24" s="2" t="inlineStr">
        <is>
          <t>P23</t>
        </is>
      </c>
      <c r="B24" s="2" t="inlineStr">
        <is>
          <t>cooking_service (input)</t>
        </is>
      </c>
      <c r="C24" s="2" t="inlineStr">
        <is>
          <t>share of population using clean cooking fuels</t>
        </is>
      </c>
      <c r="D24" s="2" t="inlineStr">
        <is>
          <t>share</t>
        </is>
      </c>
      <c r="E24" s="2" t="n"/>
      <c r="F24" s="2" t="inlineStr">
        <is>
          <t>Found</t>
        </is>
      </c>
      <c r="G24" s="3" t="n">
        <v>0.22</v>
      </c>
      <c r="H24" s="2" t="inlineStr">
        <is>
          <t>% of household population</t>
        </is>
      </c>
      <c r="I24" s="2" t="inlineStr">
        <is>
          <t>NDHS2024_SR294</t>
        </is>
      </c>
      <c r="J24" s="2" t="inlineStr">
        <is>
          <t>p. 2</t>
        </is>
      </c>
      <c r="K24" s="2" t="n">
        <v>2024</v>
      </c>
      <c r="L24" s="2" t="n">
        <v>2025</v>
      </c>
      <c r="M24" s="2" t="inlineStr">
        <is>
          <t>2025-10-28</t>
        </is>
      </c>
      <c r="N24" s="2" t="inlineStr">
        <is>
          <t>Clean = electricity, LPG/natural gas/biogas, solar, alcohol/ethanol. Urban 42%, rural 5%. Calibration target for LPG+electric stoves.</t>
        </is>
      </c>
    </row>
    <row r="25">
      <c r="A25" s="2" t="inlineStr">
        <is>
          <t>P24</t>
        </is>
      </c>
      <c r="B25" s="2" t="inlineStr">
        <is>
          <t>cooking_service (input)</t>
        </is>
      </c>
      <c r="C25" s="2" t="inlineStr">
        <is>
          <t>share of households cooking mainly with wood</t>
        </is>
      </c>
      <c r="D25" s="2" t="inlineStr">
        <is>
          <t>share</t>
        </is>
      </c>
      <c r="E25" s="2" t="n"/>
      <c r="F25" s="2" t="inlineStr">
        <is>
          <t>Candidate</t>
        </is>
      </c>
      <c r="G25" s="3" t="n">
        <v>0.702</v>
      </c>
      <c r="H25" s="2" t="inlineStr">
        <is>
          <t>% of households</t>
        </is>
      </c>
      <c r="I25" s="2" t="inlineStr">
        <is>
          <t>NBS_GHSPanelW5</t>
        </is>
      </c>
      <c r="J25" s="2" t="inlineStr">
        <is>
          <t>via TheCable article; PDF unreadable</t>
        </is>
      </c>
      <c r="K25" s="2" t="n">
        <v>2024</v>
      </c>
      <c r="L25" s="2" t="n">
        <v>2025</v>
      </c>
      <c r="M25" s="2" t="inlineStr">
        <is>
          <t>2025-10-28</t>
        </is>
      </c>
      <c r="N25" s="2" t="inlineStr">
        <is>
          <t>National, GHS-Panel Wave 5 2023/24. LPG 23.2% in same source. Re-check in the primary PDF; not in NDHS summary. Charcoal, kerosene, electricity shares not obtained.</t>
        </is>
      </c>
    </row>
    <row r="26">
      <c r="A26" s="2" t="inlineStr">
        <is>
          <t>P25</t>
        </is>
      </c>
      <c r="B26" s="2" t="inlineStr">
        <is>
          <t>lpg_stove (calibration)</t>
        </is>
      </c>
      <c r="C26" s="2" t="inlineStr">
        <is>
          <t>share of households cooking mainly with LPG</t>
        </is>
      </c>
      <c r="D26" s="2" t="inlineStr">
        <is>
          <t>share</t>
        </is>
      </c>
      <c r="E26" s="2" t="n"/>
      <c r="F26" s="2" t="inlineStr">
        <is>
          <t>Candidate</t>
        </is>
      </c>
      <c r="G26" s="3" t="n">
        <v>0.232</v>
      </c>
      <c r="H26" s="2" t="inlineStr">
        <is>
          <t>% of households</t>
        </is>
      </c>
      <c r="I26" s="2" t="inlineStr">
        <is>
          <t>NBS_GHSPanelW5</t>
        </is>
      </c>
      <c r="J26" s="2" t="inlineStr">
        <is>
          <t>via TheCable article; PDF unreadable</t>
        </is>
      </c>
      <c r="K26" s="2" t="n">
        <v>2024</v>
      </c>
      <c r="L26" s="2" t="n">
        <v>2025</v>
      </c>
      <c r="M26" s="2" t="inlineStr">
        <is>
          <t>2025-10-28</t>
        </is>
      </c>
      <c r="N26" s="2" t="inlineStr">
        <is>
          <t>Another source (Clean Cooking Alliance dashboard) quotes 15% from a consumer segmentation report, year not stated: sources disagree, resolve before calibration.</t>
        </is>
      </c>
    </row>
    <row r="27">
      <c r="A27" s="2" t="inlineStr">
        <is>
          <t>P26</t>
        </is>
      </c>
      <c r="B27" s="2" t="inlineStr">
        <is>
          <t>cooking_service (input)</t>
        </is>
      </c>
      <c r="C27" s="2" t="inlineStr">
        <is>
          <t>useful energy per household</t>
        </is>
      </c>
      <c r="D27" s="2" t="inlineStr">
        <is>
          <t>kWh useful/household/yr</t>
        </is>
      </c>
      <c r="E27" s="2" t="n">
        <v>1000</v>
      </c>
      <c r="F27" s="2" t="inlineStr">
        <is>
          <t>Decision</t>
        </is>
      </c>
      <c r="G27" s="3" t="n">
        <v>1000</v>
      </c>
      <c r="H27" s="2" t="inlineStr">
        <is>
          <t>kWh/household/yr (derived)</t>
        </is>
      </c>
      <c r="I27" s="2" t="inlineStr">
        <is>
          <t>Ibitoye2013</t>
        </is>
      </c>
      <c r="J27" s="2" t="inlineStr">
        <is>
          <t>SpringerPlus 2:529, text</t>
        </is>
      </c>
      <c r="K27" s="2" t="inlineStr">
        <is>
          <t>n/a</t>
        </is>
      </c>
      <c r="L27" s="2" t="n">
        <v>2025</v>
      </c>
      <c r="M27" s="2" t="inlineStr">
        <is>
          <t>2025-10-28</t>
        </is>
      </c>
      <c r="N27" s="2" t="inlineStr">
        <is>
          <t>800 MJ/capita/yr x 4.5 persons /3.6 = 1000 kWh useful/household/yr. Range from the paper: 700 to 900 MJ/cap = 875 to 1125 kWh/household.</t>
        </is>
      </c>
    </row>
  </sheetData>
  <dataValidations count="1">
    <dataValidation sqref="F2:F27" showDropDown="0" showInputMessage="0" showErrorMessage="0" allowBlank="0" type="list">
      <formula1>"Placeholder,Candidate,Found,Verified,Decision,Assumption,Missing"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16" customWidth="1" min="4" max="4"/>
    <col width="18" customWidth="1" min="5" max="5"/>
    <col width="60" customWidth="1" min="6" max="6"/>
  </cols>
  <sheetData>
    <row r="1">
      <c r="A1" s="1" t="inlineStr">
        <is>
          <t>Symbol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 key</t>
        </is>
      </c>
      <c r="F1" s="1" t="inlineStr">
        <is>
          <t>Note</t>
        </is>
      </c>
    </row>
    <row r="2">
      <c r="A2" t="inlineStr">
        <is>
          <t>P</t>
        </is>
      </c>
      <c r="B2" t="inlineStr">
        <is>
          <t>Paddy rice production, base year</t>
        </is>
      </c>
      <c r="C2" s="4" t="n">
        <v>9129900</v>
      </c>
      <c r="D2" t="inlineStr">
        <is>
          <t>t/yr</t>
        </is>
      </c>
      <c r="E2" t="inlineStr">
        <is>
          <t>FAOSTAT 2024 (used as 2025 base)</t>
        </is>
      </c>
      <c r="F2" t="inlineStr">
        <is>
          <t>FAOSTAT or NBS; state year</t>
        </is>
      </c>
    </row>
    <row r="3">
      <c r="A3" t="inlineStr">
        <is>
          <t>rho</t>
        </is>
      </c>
      <c r="B3" t="inlineStr">
        <is>
          <t>Husk-to-paddy ratio (residue-to-product)</t>
        </is>
      </c>
      <c r="C3" s="4" t="n">
        <v>0.26</v>
      </c>
      <c r="D3" t="inlineStr">
        <is>
          <t>t / t paddy</t>
        </is>
      </c>
      <c r="E3" t="inlineStr">
        <is>
          <t>Iye2013 Table 3</t>
        </is>
      </c>
      <c r="F3" t="inlineStr">
        <is>
          <t>Dry-matter basis; Ezealigo et al. 2021, Jekayinfa et al. 2020, Iye &amp; Bilsborrow 2013 as cross-checks</t>
        </is>
      </c>
    </row>
    <row r="4">
      <c r="A4" t="inlineStr">
        <is>
          <t>kappa</t>
        </is>
      </c>
      <c r="B4" t="inlineStr">
        <is>
          <t>Recovery / collection fraction at mills</t>
        </is>
      </c>
      <c r="C4" s="4" t="n">
        <v>0.4</v>
      </c>
      <c r="D4" t="inlineStr">
        <is>
          <t>share</t>
        </is>
      </c>
      <c r="E4" t="inlineStr">
        <is>
          <t>Ukoba2023 availability factor 0.4 (option H2)</t>
        </is>
      </c>
      <c r="F4" t="inlineStr">
        <is>
          <t>Share of husk physically collectable (mill-based, so likely high)</t>
        </is>
      </c>
    </row>
    <row r="5">
      <c r="A5" t="inlineStr">
        <is>
          <t>U</t>
        </is>
      </c>
      <c r="B5" t="inlineStr">
        <is>
          <t>Competing uses (parboiling fuel, brick kilns, feed, etc.)</t>
        </is>
      </c>
      <c r="C5" s="4">
        <f>0.25*C10</f>
        <v/>
      </c>
      <c r="D5" t="inlineStr">
        <is>
          <t>t/yr</t>
        </is>
      </c>
      <c r="E5" t="inlineStr">
        <is>
          <t>Okoro2024_losses: average 25% of residues used for other applications (cooking, bedding, feed, construction)</t>
        </is>
      </c>
      <c r="F5" t="inlineStr">
        <is>
          <t>Decision (Hilla, 2026-10-29): U = 25% of R. All-residue average, not husk-specific.</t>
        </is>
      </c>
    </row>
    <row r="6">
      <c r="A6" t="inlineStr">
        <is>
          <t>r</t>
        </is>
      </c>
      <c r="B6" t="inlineStr">
        <is>
          <t>Retention requirement</t>
        </is>
      </c>
      <c r="C6" s="4" t="n">
        <v>0</v>
      </c>
      <c r="D6" t="inlineStr">
        <is>
          <t>share</t>
        </is>
      </c>
      <c r="E6" t="inlineStr">
        <is>
          <t>Not applicable to a mill residue</t>
        </is>
      </c>
      <c r="F6" t="inlineStr">
        <is>
          <t>Not applicable to a mill residue (only field residues); keep 0</t>
        </is>
      </c>
    </row>
    <row r="7">
      <c r="A7" t="inlineStr">
        <is>
          <t>h</t>
        </is>
      </c>
      <c r="B7" t="inlineStr">
        <is>
          <t>Lower heating value (LHV)</t>
        </is>
      </c>
      <c r="C7" s="4" t="n">
        <v>15.205</v>
      </c>
      <c r="D7" t="inlineStr">
        <is>
          <t>MJ/kg DM</t>
        </is>
      </c>
      <c r="E7" t="inlineStr">
        <is>
          <t>Midpoint of Ukoba2023 14.0-16.41 MJ/kg, dry basis (option H2)</t>
        </is>
      </c>
      <c r="F7" t="inlineStr">
        <is>
          <t>Phyllis2 or Nigerian proximate analysis</t>
        </is>
      </c>
    </row>
    <row r="9">
      <c r="A9" t="inlineStr">
        <is>
          <t>T</t>
        </is>
      </c>
      <c r="B9" t="inlineStr">
        <is>
          <t>Theoretical residue  T = P x rho</t>
        </is>
      </c>
      <c r="C9" s="5">
        <f>IF(AND(ISNUMBER(C2),ISNUMBER(C3)),C2*C3,"")</f>
        <v/>
      </c>
      <c r="D9" t="inlineStr">
        <is>
          <t>t/yr</t>
        </is>
      </c>
      <c r="F9" t="inlineStr">
        <is>
          <t>formula</t>
        </is>
      </c>
    </row>
    <row r="10">
      <c r="A10" t="inlineStr">
        <is>
          <t>R</t>
        </is>
      </c>
      <c r="B10" t="inlineStr">
        <is>
          <t>Recoverable residue  R = kappa x T</t>
        </is>
      </c>
      <c r="C10" s="5">
        <f>IF(AND(ISNUMBER(C9),ISNUMBER(C4)),C4*C9,"")</f>
        <v/>
      </c>
      <c r="D10" t="inlineStr">
        <is>
          <t>t/yr</t>
        </is>
      </c>
      <c r="F10" t="inlineStr">
        <is>
          <t>formula</t>
        </is>
      </c>
    </row>
    <row r="11">
      <c r="A11" t="inlineStr">
        <is>
          <t>A</t>
        </is>
      </c>
      <c r="B11" t="inlineStr">
        <is>
          <t>Available after uses  A = R - U</t>
        </is>
      </c>
      <c r="C11" s="5">
        <f>IF(AND(ISNUMBER(C10),ISNUMBER(C5)),C10-C5,"")</f>
        <v/>
      </c>
      <c r="D11" t="inlineStr">
        <is>
          <t>t/yr</t>
        </is>
      </c>
      <c r="F11" t="inlineStr">
        <is>
          <t>formula (can be negative: diagnostic)</t>
        </is>
      </c>
    </row>
    <row r="12">
      <c r="A12" t="inlineStr">
        <is>
          <t>S</t>
        </is>
      </c>
      <c r="B12" t="inlineStr">
        <is>
          <t>Supply  S = max{0, min[R, (1-r) T] - U}</t>
        </is>
      </c>
      <c r="C12" s="5">
        <f>IF(AND(ISNUMBER(C9),ISNUMBER(C10),ISNUMBER(C5),ISNUMBER(C6)),MAX(0,MIN(C10,(1-C6)*C9)-C5),"")</f>
        <v/>
      </c>
      <c r="D12" t="inlineStr">
        <is>
          <t>t/yr</t>
        </is>
      </c>
      <c r="F12" t="inlineStr">
        <is>
          <t>formula</t>
        </is>
      </c>
    </row>
    <row r="13">
      <c r="A13" t="inlineStr">
        <is>
          <t>E</t>
        </is>
      </c>
      <c r="B13" t="inlineStr">
        <is>
          <t>Energy cap  E = S x h / 3600</t>
        </is>
      </c>
      <c r="C13" s="5">
        <f>IF(AND(ISNUMBER(C12),ISNUMBER(C7)),C12*C7/3600,"")</f>
        <v/>
      </c>
      <c r="D13" t="inlineStr">
        <is>
          <t>GWh/yr</t>
        </is>
      </c>
      <c r="F13" t="inlineStr">
        <is>
          <t>-&gt; goes into Parameters P04 (availability_import_yearly). t x MJ/kg = GJ; /3600 = GWh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40" customWidth="1" min="3" max="3"/>
    <col width="11" customWidth="1" min="4" max="4"/>
    <col width="24" customWidth="1" min="5" max="5"/>
    <col width="40" customWidth="1" min="6" max="6"/>
  </cols>
  <sheetData>
    <row r="1">
      <c r="A1" s="1" t="inlineStr">
        <is>
          <t>Source key</t>
        </is>
      </c>
      <c r="B1" s="1" t="inlineStr">
        <is>
          <t>Citation (IEEE style, from references.bib key where possible)</t>
        </is>
      </c>
      <c r="C1" s="1" t="inlineStr">
        <is>
          <t>URL / DOI</t>
        </is>
      </c>
      <c r="D1" s="1" t="inlineStr">
        <is>
          <t>Accessed</t>
        </is>
      </c>
      <c r="E1" s="1" t="inlineStr">
        <is>
          <t>Used for</t>
        </is>
      </c>
      <c r="F1" s="1" t="inlineStr">
        <is>
          <t>Quality note</t>
        </is>
      </c>
    </row>
    <row r="2">
      <c r="A2" t="inlineStr">
        <is>
          <t>Ezealigo2021</t>
        </is>
      </c>
      <c r="B2" t="inlineStr">
        <is>
          <t>(fill from references.bib)</t>
        </is>
      </c>
      <c r="E2" t="inlineStr">
        <is>
          <t>Residue ratios</t>
        </is>
      </c>
      <c r="F2" t="inlineStr">
        <is>
          <t>In project docs; re-open before use</t>
        </is>
      </c>
    </row>
    <row r="3">
      <c r="A3" t="inlineStr">
        <is>
          <t>Jekayinfa2020</t>
        </is>
      </c>
      <c r="B3" t="inlineStr">
        <is>
          <t>(fill from references.bib)</t>
        </is>
      </c>
      <c r="E3" t="inlineStr">
        <is>
          <t>Residue ratios, charcoal</t>
        </is>
      </c>
      <c r="F3" t="inlineStr">
        <is>
          <t>In project docs; re-open before use</t>
        </is>
      </c>
    </row>
    <row r="4">
      <c r="A4" t="inlineStr">
        <is>
          <t>IyeBilsborrow2013</t>
        </is>
      </c>
      <c r="B4" t="inlineStr">
        <is>
          <t>(fill from references.bib)</t>
        </is>
      </c>
      <c r="E4" t="inlineStr">
        <is>
          <t>Residue ratios, retention</t>
        </is>
      </c>
      <c r="F4" t="inlineStr">
        <is>
          <t>In project docs; re-open before use</t>
        </is>
      </c>
    </row>
    <row r="5">
      <c r="A5" t="inlineStr">
        <is>
          <t>Okoro2024</t>
        </is>
      </c>
      <c r="B5" t="inlineStr">
        <is>
          <t>(fill from references.bib)</t>
        </is>
      </c>
      <c r="E5" t="inlineStr">
        <is>
          <t>Biomass potential, E10/B20</t>
        </is>
      </c>
      <c r="F5" t="inlineStr">
        <is>
          <t>In project docs; re-open before use</t>
        </is>
      </c>
    </row>
    <row r="6">
      <c r="A6" t="inlineStr">
        <is>
          <t>NDHS2024_SR294</t>
        </is>
      </c>
      <c r="B6" t="inlineStr">
        <is>
          <t>National Population Commission (NPC) and ICF, "2024 Demographic and Health Survey Summary Report, Nigeria," DHS Program, Rockville, MD, USA, SR294.</t>
        </is>
      </c>
      <c r="C6" t="inlineStr">
        <is>
          <t>https://dhsprogram.com/pubs/pdf/SR294/SR294.pdf</t>
        </is>
      </c>
      <c r="D6" t="inlineStr">
        <is>
          <t>2025-10-28</t>
        </is>
      </c>
      <c r="E6" t="inlineStr">
        <is>
          <t>Household size; clean cooking share</t>
        </is>
      </c>
      <c r="F6" t="inlineStr">
        <is>
          <t>Primary, national, 2023-24. Summary report has no fuel-by-fuel table; the Final Report FR395 (Oct 2025) should have one: obtain the PDF.</t>
        </is>
      </c>
    </row>
    <row r="7">
      <c r="A7" t="inlineStr">
        <is>
          <t>NBS_GHSPanelW5</t>
        </is>
      </c>
      <c r="B7" t="inlineStr">
        <is>
          <t>National Bureau of Statistics, "Nigeria General Household Survey-Panel (Wave 5) 2023/2024 Survey Report."</t>
        </is>
      </c>
      <c r="C7" t="inlineStr">
        <is>
          <t>https://www.nigerianstat.gov.ng/pdfuploads/GHS-Panel%20Wave%205%20-%20Survey%20Report.pdf</t>
        </is>
      </c>
      <c r="D7" t="inlineStr">
        <is>
          <t>2025-10-28</t>
        </is>
      </c>
      <c r="E7" t="inlineStr">
        <is>
          <t>Wood and LPG household shares</t>
        </is>
      </c>
      <c r="F7" t="inlineStr">
        <is>
          <t>PDF could not be read here; figures taken from TheCable press article. Verify in the PDF.</t>
        </is>
      </c>
    </row>
    <row r="8">
      <c r="A8" t="inlineStr">
        <is>
          <t>WorldBank_pop</t>
        </is>
      </c>
      <c r="B8" t="inlineStr">
        <is>
          <t>World Bank, total population of Nigeria, 2025: 237,527,782 (value confirmed by the author; primary table to be cited with URL and access date).</t>
        </is>
      </c>
      <c r="C8" t="inlineStr">
        <is>
          <t>(add World Bank WDI URL)</t>
        </is>
      </c>
      <c r="D8" t="inlineStr">
        <is>
          <t>2025-10-28</t>
        </is>
      </c>
      <c r="E8" t="inlineStr">
        <is>
          <t>Population 2025</t>
        </is>
      </c>
      <c r="F8" t="inlineStr">
        <is>
          <t>Primary source. Value matches the secondary figure first found via Worldometer.</t>
        </is>
      </c>
    </row>
    <row r="9">
      <c r="A9" t="inlineStr">
        <is>
          <t>CCA_NigeriaDashboard</t>
        </is>
      </c>
      <c r="B9" t="inlineStr">
        <is>
          <t>Clean Cooking Alliance, National Markets Intelligence Dashboard: Nigeria (World Bank 2023: 26.2% with clean cooking access; urban 48.7%, rural 9.7%; 15% primarily use LPG, report year not stated).</t>
        </is>
      </c>
      <c r="C9" t="inlineStr">
        <is>
          <t>https://cleancooking.org/market-intelligence-hub/national-markets-intelligence-dashboard/nigeria/</t>
        </is>
      </c>
      <c r="D9" t="inlineStr">
        <is>
          <t>2025-10-28</t>
        </is>
      </c>
      <c r="E9" t="inlineStr">
        <is>
          <t>Cross-check of clean-cooking share</t>
        </is>
      </c>
      <c r="F9" t="inlineStr">
        <is>
          <t>Secondary; differs from NDHS 2024 (22%) by definition and year.</t>
        </is>
      </c>
    </row>
    <row r="10">
      <c r="A10" t="inlineStr">
        <is>
          <t>Ibitoye2013</t>
        </is>
      </c>
      <c r="B10" t="inlineStr">
        <is>
          <t>F. I. Ibitoye, "The millennium development goals and household energy requirements in Nigeria," SpringerPlus, vol. 2, art. 529, 2013.</t>
        </is>
      </c>
      <c r="C10" t="inlineStr">
        <is>
          <t>https://springerplus.springeropen.com/articles/10.1186/2193-1801-2-529</t>
        </is>
      </c>
      <c r="D10" t="inlineStr">
        <is>
          <t>2025-10-28</t>
        </is>
      </c>
      <c r="E10" t="inlineStr">
        <is>
          <t>Useful cooking energy per capita (800 MJ/cap/yr, range 700-900)</t>
        </is>
      </c>
      <c r="F10" t="inlineStr">
        <is>
          <t>Assumption taken from two surveys, LEAP model; fuel shares from NBS 2005; efficiencies listed in paper</t>
        </is>
      </c>
    </row>
    <row r="11">
      <c r="A11" t="inlineStr">
        <is>
          <t>Gujba2015</t>
        </is>
      </c>
      <c r="B11" t="inlineStr">
        <is>
          <t>H. Gujba, Y. Mulugetta and A. Azapagic, "The household cooking sector in Nigeria: environmental and economic sustainability assessment," Resources, vol. 4, no. 2, pp. 412-433, 2015.</t>
        </is>
      </c>
      <c r="C11" t="inlineStr">
        <is>
          <t>https://www.mdpi.com/2079-9276/4/2/412</t>
        </is>
      </c>
      <c r="D11" t="inlineStr">
        <is>
          <t>2025-10-28</t>
        </is>
      </c>
      <c r="E11" t="inlineStr">
        <is>
          <t>Useful energy 247.9 PJ (2003); stove efficiencies; stove count</t>
        </is>
      </c>
      <c r="F11" t="inlineStr">
        <is>
          <t>Base year 2003; BAU projections 596.3 PJ (2020), 999.4 PJ (2030)</t>
        </is>
      </c>
    </row>
    <row r="12">
      <c r="A12" t="inlineStr">
        <is>
          <t>Olanrewaju2019</t>
        </is>
      </c>
      <c r="B12" t="inlineStr">
        <is>
          <t>F. O. Olanrewaju et al., "Bioenergy potential in Nigeria," Chemical Engineering Transactions, vol. 74, 2019.</t>
        </is>
      </c>
      <c r="C12" t="inlineStr">
        <is>
          <t>(project doc: Bioenergy Potential in Nigeria.pdf)</t>
        </is>
      </c>
      <c r="D12" t="inlineStr">
        <is>
          <t>2025-10-28</t>
        </is>
      </c>
      <c r="E12" t="inlineStr">
        <is>
          <t>Household wood 46 Mt and charcoal 3.2 Mt in 2014 (cites UNdata 2017)</t>
        </is>
      </c>
      <c r="F12" t="inlineStr">
        <is>
          <t>Secondary for the UNdata figures; check UNdata/FAO primary</t>
        </is>
      </c>
    </row>
    <row r="13">
      <c r="A13" t="inlineStr">
        <is>
          <t>Jekayinfa2020</t>
        </is>
      </c>
      <c r="B13" t="inlineStr">
        <is>
          <t>S. O. Jekayinfa et al., Resources, vol. 9, art. 92, 2020 (project doc: resources-09-00092).</t>
        </is>
      </c>
      <c r="C13" t="inlineStr">
        <is>
          <t>(project doc)</t>
        </is>
      </c>
      <c r="D13" t="inlineStr">
        <is>
          <t>2025-10-28</t>
        </is>
      </c>
      <c r="E13" t="inlineStr">
        <is>
          <t>LHV wood 19.5, charcoal 28.0 MJ/kg; cites Bello et al. 2015 stove efficiencies</t>
        </is>
      </c>
      <c r="F13" t="inlineStr">
        <is>
          <t>Table 12 gives 635.09 PJ for 34.3 Mt wood (=18.5 MJ/kg), inconsistent with its own 19.5 MJ/kg</t>
        </is>
      </c>
    </row>
    <row r="14">
      <c r="A14" t="inlineStr">
        <is>
          <t>NBS_GHSPanelW5</t>
        </is>
      </c>
      <c r="B14" t="inlineStr">
        <is>
          <t>(update) verified in the attached PDF: Table 3.6 (primary stove type, PDF p.111) and Table 3.8 (% of households using each fuel, PDF p.112); wood 70.2, LPG 23.2, charcoal/coal 12.7, kerosene 2.8.</t>
        </is>
      </c>
      <c r="D14" t="inlineStr">
        <is>
          <t>2025-10-28</t>
        </is>
      </c>
      <c r="F14" t="inlineStr">
        <is>
          <t>Table 3.8 shares sum to &gt;100%: households use several fuels (stacking). Table 3.6 primary stove: 3-stone 65.0, LPG 22.6, kerosene 2.2, electric 0.3</t>
        </is>
      </c>
    </row>
    <row r="15">
      <c r="A15" t="inlineStr">
        <is>
          <t>Iye2013</t>
        </is>
      </c>
      <c r="B15" t="inlineStr">
        <is>
          <t>E. Iye and P. Bilsborrow, "Assessment of the availability of agricultural residues on a zonal basis for medium- to large-scale bioenergy production in Nigeria," Biomass and Bioenergy, vol. 48, pp. 66-74, 2013. (project doc 1-s2.0-S0961953412004849)</t>
        </is>
      </c>
      <c r="C15" t="inlineStr">
        <is>
          <t>(project doc)</t>
        </is>
      </c>
      <c r="D15" t="inlineStr">
        <is>
          <t>2025-10-28</t>
        </is>
      </c>
      <c r="E15" t="inlineStr">
        <is>
          <t>Rice husk RPR 0.26, LHV 19.93 MJ/kg (Table 3); 100% of processing residues assumed available</t>
        </is>
      </c>
      <c r="F15" t="inlineStr">
        <is>
          <t>Cites Koopmans &amp; Koppejan for RPR; assumption that all processing residue is available is theirs. LHV 19.93 is high for husk (see OSTI 13.24-16.20).</t>
        </is>
      </c>
    </row>
    <row r="16">
      <c r="A16" t="inlineStr">
        <is>
          <t>Ukoba2023</t>
        </is>
      </c>
      <c r="B16" t="inlineStr">
        <is>
          <t>M. O. Ukoba et al., Biomass and Bioenergy, vol. 170, art. 106726, 2023. (project doc 1-s2.0-S0961953423000247)</t>
        </is>
      </c>
      <c r="C16" t="inlineStr">
        <is>
          <t>(project doc)</t>
        </is>
      </c>
      <c r="D16" t="inlineStr">
        <is>
          <t>2025-10-28</t>
        </is>
      </c>
      <c r="E16" t="inlineStr">
        <is>
          <t>Table 2: paddy 8,435,000 t (2019), husk RPR 0.17-0.35, LHV 14,000-16,410 kJ/kg; availability factor 0.4 for rice residue (Sec. 2.1.2)</t>
        </is>
      </c>
      <c r="F16" t="inlineStr">
        <is>
          <t>Review/assessment; AF is an assumption cited from Jekayinfa 2020 and others, not a measurement</t>
        </is>
      </c>
    </row>
    <row r="17">
      <c r="A17" t="inlineStr">
        <is>
          <t>Okoro2024</t>
        </is>
      </c>
      <c r="B17" t="inlineStr">
        <is>
          <t>P. A. Okoro et al., Biomass and Bioenergy, vol. 190, art. 107403, 2024. (project doc)</t>
        </is>
      </c>
      <c r="C17" t="inlineStr">
        <is>
          <t>(project doc)</t>
        </is>
      </c>
      <c r="D17" t="inlineStr">
        <is>
          <t>2025-10-28</t>
        </is>
      </c>
      <c r="E17" t="inlineStr">
        <is>
          <t>Qualitative husk uses: parboiling with wood, local cooking, animal bedding, briquettes; most husk burnt or dumped</t>
        </is>
      </c>
      <c r="F17" t="inlineStr">
        <is>
          <t>States that volume reused or sold is 'relatively low'; no tonnage or share given. Evidence from stakeholder fieldwork, not a survey</t>
        </is>
      </c>
    </row>
    <row r="18">
      <c r="A18" t="inlineStr">
        <is>
          <t>OSTI_RiceHusk</t>
        </is>
      </c>
      <c r="B18" t="inlineStr">
        <is>
          <t>"Physical and thermochemical properties of rice husk," Energy Sources, vol. 19, no. 9 (Technical University of Nova Scotia; authors not listed on the OSTI page).</t>
        </is>
      </c>
      <c r="C18" t="inlineStr">
        <is>
          <t>https://www.osti.gov/biblio/562296</t>
        </is>
      </c>
      <c r="D18" t="inlineStr">
        <is>
          <t>2025-10-28</t>
        </is>
      </c>
      <c r="E18" t="inlineStr">
        <is>
          <t>Husk LHV 13.24-16.20 MJ/kg dry basis; moisture 8.68-10.44%; ash 15.3-24.6%</t>
        </is>
      </c>
      <c r="F18" t="inlineStr">
        <is>
          <t>Six varieties, not Nigerian. Year not shown on the page</t>
        </is>
      </c>
    </row>
    <row r="19">
      <c r="A19" t="inlineStr">
        <is>
          <t>FAOSTAT_Wikipedia</t>
        </is>
      </c>
      <c r="B19" t="inlineStr">
        <is>
          <t>FAOSTAT 2022 paddy rice production for Nigeria: 8,502,000 t, as listed on Wikipedia, "List of countries by rice production."</t>
        </is>
      </c>
      <c r="C19" t="inlineStr">
        <is>
          <t>https://en.wikipedia.org/wiki/List_of_countries_by_rice_production</t>
        </is>
      </c>
      <c r="D19" t="inlineStr">
        <is>
          <t>2025-10-28</t>
        </is>
      </c>
      <c r="E19" t="inlineStr">
        <is>
          <t>Paddy production P (proxy for 2025)</t>
        </is>
      </c>
      <c r="F19" t="inlineStr">
        <is>
          <t>Secondary. Replace with a FAOSTAT query export (Crops and livestock products, Rice, Nigeria, Production quantity)</t>
        </is>
      </c>
    </row>
    <row r="20">
      <c r="A20" t="inlineStr">
        <is>
          <t>AFEX2024_Nairametrics</t>
        </is>
      </c>
      <c r="B20" t="inlineStr">
        <is>
          <t>Nairametrics, "Paddy rice production in Nigeria projected to decline," 31 Oct 2024, quoting AFEX: 8.1 million t projected for 2024 (down 2.6%).</t>
        </is>
      </c>
      <c r="C20" t="inlineStr">
        <is>
          <t>https://nairametrics.com/2024/10/31/paddy-rice-production-in-nigeria-projected-to-decline-over-insecurity-high-fertiliser-cost-afex/</t>
        </is>
      </c>
      <c r="D20" t="inlineStr">
        <is>
          <t>2025-10-28</t>
        </is>
      </c>
      <c r="E20" t="inlineStr">
        <is>
          <t>Cross-check of recent paddy output</t>
        </is>
      </c>
      <c r="F20" t="inlineStr">
        <is>
          <t>Secondary, private-sector estimate, projection</t>
        </is>
      </c>
    </row>
    <row r="21">
      <c r="A21" t="inlineStr">
        <is>
          <t>UNIDO_Thomas2014</t>
        </is>
      </c>
      <c r="B21" t="inlineStr">
        <is>
          <t>Thomas Ene, rice-husk cogeneration study, Nigeria, 2014 (UNIDO document THOMAS_ENE_RRE_NIR_2014_100260).</t>
        </is>
      </c>
      <c r="C21" t="inlineStr">
        <is>
          <t>https://downloads.unido.org/ot/47/39/4739174/THOMAS_ENE_RRE_NIR_2014_100260.pdf</t>
        </is>
      </c>
      <c r="D21" t="inlineStr">
        <is>
          <t>2025-10-28</t>
        </is>
      </c>
      <c r="E21" t="inlineStr">
        <is>
          <t>Site evidence: husk 0.9 Mt nationally (Table 2); husk burnt in open air in most cases; heaps of unutilised husk; mill husk ~4 t/day for ~14 t/day rice output (Otukpo)</t>
        </is>
      </c>
      <c r="F21" t="inlineStr">
        <is>
          <t>Title and authorship to confirm from the PDF; figures from a tool summary, check page numbers</t>
        </is>
      </c>
    </row>
    <row r="22">
      <c r="A22" t="inlineStr">
        <is>
          <t>FAOSTAT2024</t>
        </is>
      </c>
      <c r="B22" t="inlineStr">
        <is>
          <t>FAOSTAT, Crops and livestock products, rice (paddy), Nigeria, 2024: 9,129,900 t (value supplied by the author; add query URL and access date).</t>
        </is>
      </c>
      <c r="C22" t="inlineStr">
        <is>
          <t>(add FAOSTAT URL)</t>
        </is>
      </c>
      <c r="D22" t="inlineStr">
        <is>
          <t>2026-10-28</t>
        </is>
      </c>
      <c r="E22" t="inlineStr">
        <is>
          <t>Paddy production P (2025 base-year value)</t>
        </is>
      </c>
      <c r="F22" t="inlineStr">
        <is>
          <t>Primary database. Not opened by me.</t>
        </is>
      </c>
    </row>
    <row r="23">
      <c r="A23" t="inlineStr">
        <is>
          <t>F1000_GasifierReview</t>
        </is>
      </c>
      <c r="B23" t="inlineStr">
        <is>
          <t>"Thermal performance of gasifier cooking stoves: a systematic literature review," F1000Research, vol. 12, art. 38, 2023 (28 experimental studies; authors to confirm from the page).</t>
        </is>
      </c>
      <c r="C23" t="inlineStr">
        <is>
          <t>https://f1000research.com/articles/12-38/v1</t>
        </is>
      </c>
      <c r="D23" t="inlineStr">
        <is>
          <t>2026-10-28</t>
        </is>
      </c>
      <c r="E23" t="inlineStr">
        <is>
          <t>Rice husk stove efficiencies by study (Table 3); overall gasifier range 5.88-91%</t>
        </is>
      </c>
      <c r="F23" t="inlineStr">
        <is>
          <t>Table 5 of the review gives 15.51-16.47% for rice husk, which omits higher Table 3 values; the review does not say why. I read the first 100,000 of 125,798 characters.</t>
        </is>
      </c>
    </row>
    <row r="24">
      <c r="A24" t="inlineStr">
        <is>
          <t>CCA_IWA_Tiers</t>
        </is>
      </c>
      <c r="B24" t="inlineStr">
        <is>
          <t>Clean Cooking Alliance, document 190-1 (ISO IWA interim tiers for cookstoves): high-power thermal efficiency Tier 0 &lt;15%, Tier 1 &gt;=15, Tier 2 &gt;=25, Tier 3 &gt;=35, Tier 4 &gt;=45.</t>
        </is>
      </c>
      <c r="C24" t="inlineStr">
        <is>
          <t>https://cleancooking.org/wp-content/uploads/2021/07/190-1.pdf</t>
        </is>
      </c>
      <c r="D24" t="inlineStr">
        <is>
          <t>2026-10-28</t>
        </is>
      </c>
      <c r="E24" t="inlineStr">
        <is>
          <t>Efficiency tier thresholds</t>
        </is>
      </c>
      <c r="F24" t="inlineStr">
        <is>
          <t>Interim 2012 IWA tiers, since replaced by ISO 19867-3 tiers (not read). Lab water-boiling-test values.</t>
        </is>
      </c>
    </row>
    <row r="25">
      <c r="A25" t="inlineStr">
        <is>
          <t>CLASP2017</t>
        </is>
      </c>
      <c r="B25" t="inlineStr">
        <is>
          <t>CLASP, "Transforming the cookstoves market through standards and labels in Nigeria," 2017.</t>
        </is>
      </c>
      <c r="C25" t="inlineStr">
        <is>
          <t>https://www.clasp.ngo/wp-content/uploads/2021/01/Transforming-the-Cookstoves-Market-through-Standards-Labels-in-Nigeria_2017.pdf</t>
        </is>
      </c>
      <c r="D25" t="inlineStr">
        <is>
          <t>2026-10-28</t>
        </is>
      </c>
      <c r="E25" t="inlineStr">
        <is>
          <t>Improved cookstove prices (NGN 3,000-15,000, 2017); traditional NGN 500-1,500; ~730,000 stoves sold or distributed in 2015 against 36 million households</t>
        </is>
      </c>
      <c r="F25" t="inlineStr">
        <is>
          <t>No efficiency or lifetime figures in the document. Naira prices need FX and CPI conversion to 2025 USD.</t>
        </is>
      </c>
    </row>
    <row r="26">
      <c r="A26" t="inlineStr">
        <is>
          <t>Atmosfair_NigeriaPoA</t>
        </is>
      </c>
      <c r="B26" t="inlineStr">
        <is>
          <t>atmosfair, key project information: improved cooking stoves for Nigeria (Gold Standard programme of activities).</t>
        </is>
      </c>
      <c r="C26" t="inlineStr">
        <is>
          <t>https://www.atmosfair.de/wp-content/uploads/key-project-information_improved-cooking-stoves-for-nigeria-poa.pdf</t>
        </is>
      </c>
      <c r="D26" t="inlineStr">
        <is>
          <t>2026-10-28</t>
        </is>
      </c>
      <c r="E26" t="inlineStr">
        <is>
          <t>SAVE80 wood stove thermal efficiency 52.7%</t>
        </is>
      </c>
      <c r="F26" t="inlineStr">
        <is>
          <t>Wood stove, project developer claim, not husk. No price or lifetime in the document.</t>
        </is>
      </c>
    </row>
    <row r="27">
      <c r="A27" t="inlineStr">
        <is>
          <t>Energypedia_NG</t>
        </is>
      </c>
      <c r="B27" t="inlineStr">
        <is>
          <t>Energypedia, "Clean Cooking in Nigeria" (cites NREAP 2015-2030).</t>
        </is>
      </c>
      <c r="C27" t="inlineStr">
        <is>
          <t>https://energypedia.info/wiki/Clean_Cooking_in_Nigeria</t>
        </is>
      </c>
      <c r="D27" t="inlineStr">
        <is>
          <t>2026-10-28</t>
        </is>
      </c>
      <c r="E27" t="inlineStr">
        <is>
          <t>Improved-stove share 0.24% in 2010, targets 40% (2020) and 59% (2030)</t>
        </is>
      </c>
      <c r="F27" t="inlineStr">
        <is>
          <t>Wiki; states data on improved stoves in Nigeria are very limited</t>
        </is>
      </c>
    </row>
    <row r="28">
      <c r="A28" t="inlineStr">
        <is>
          <t>BerkouwerDean2026</t>
        </is>
      </c>
      <c r="B28" t="inlineStr">
        <is>
          <t>S. Berkouwer and J. T. Dean, cookstove carbon-abatement paper, Climate Change Economics, 2026 (title to confirm from the PDF).</t>
        </is>
      </c>
      <c r="C28" t="inlineStr">
        <is>
          <t>https://www.susannaberkouwer.com/BerkouwerDean_Abatement.pdf</t>
        </is>
      </c>
      <c r="D28" t="inlineStr">
        <is>
          <t>2026-10-28</t>
        </is>
      </c>
      <c r="E28" t="inlineStr">
        <is>
          <t>Stove life 3.1 to 6 years (modelled); market price US$40; 83% of buyers still had a working stove at 3.5 years</t>
        </is>
      </c>
      <c r="F28" t="inlineStr">
        <is>
          <t>Kenya, Jikokoa charcoal stove. Not a husk stove, not Nigeria.</t>
        </is>
      </c>
    </row>
    <row r="29">
      <c r="A29" t="inlineStr">
        <is>
          <t>ESMAP2015_StateOfSector</t>
        </is>
      </c>
      <c r="B29" t="inlineStr">
        <is>
          <t>ESMAP, The State of the Global Clean and Improved Cooking Sector, Technical Report 007/15, 2015.</t>
        </is>
      </c>
      <c r="C29" t="inlineStr">
        <is>
          <t>https://www.esmap.org/sites/esmap.org/files/DocumentLibrary/ESMAP_State_of_Globa_Clean_Improved_Cooking_sector_Optimized.pdf</t>
        </is>
      </c>
      <c r="D29" t="inlineStr">
        <is>
          <t>2026-10-28</t>
        </is>
      </c>
      <c r="E29" t="inlineStr">
        <is>
          <t>Retail prices: basic ICS $3-10, intermediate ICS $15-30, biomass fan gasifier $50-120, LPG stove $30-70</t>
        </is>
      </c>
      <c r="F29" t="inlineStr">
        <is>
          <t>Global ranges, 2015 prices. No lifetimes in the part read (first 100,000 of 112,792 characters).</t>
        </is>
      </c>
    </row>
    <row r="30">
      <c r="A30" t="inlineStr">
        <is>
          <t>GS408_Cookstove</t>
        </is>
      </c>
      <c r="B30" t="inlineStr">
        <is>
          <t>Gold Standard, Simplified Methodology for Efficient Cookstoves, 408 V3.0.</t>
        </is>
      </c>
      <c r="C30" t="inlineStr">
        <is>
          <t>https://globalgoals.goldstandard.org/standards/408_V3.0_EE_ICS_Simplified-methodology-for-efficient-cookstove.pdf</t>
        </is>
      </c>
      <c r="D30" t="inlineStr">
        <is>
          <t>2026-10-28</t>
        </is>
      </c>
      <c r="E30" t="inlineStr">
        <is>
          <t>No default lifetime; footnote example of a five-year wood stove whose efficiency falls from 30% to 20%</t>
        </is>
      </c>
      <c r="F30" t="inlineStr">
        <is>
          <t>Efficiency degrades over life; the model assumes constant efficiency.</t>
        </is>
      </c>
    </row>
    <row r="31">
      <c r="A31" t="inlineStr">
        <is>
          <t>FRED_CPIU</t>
        </is>
      </c>
      <c r="B31" t="inlineStr">
        <is>
          <t>U.S. BLS CPI-U all items, US city average (CUUS0000SA0), via FRED. Semiannual: 2017 244.076 and 246.163; 2025 320.229 and 324.000 (1982-84=100).</t>
        </is>
      </c>
      <c r="C31" t="inlineStr">
        <is>
          <t>https://fred.stlouisfed.org/data/CUUS0000SA0</t>
        </is>
      </c>
      <c r="D31" t="inlineStr">
        <is>
          <t>2026-10-28</t>
        </is>
      </c>
      <c r="E31" t="inlineStr">
        <is>
          <t>Inflation adjustment to 2025 USD</t>
        </is>
      </c>
      <c r="F31" t="inlineStr">
        <is>
          <t>Not seasonally adjusted. 2017 to 2025 ratio about 1.31 (my arithmetic from half-year values).</t>
        </is>
      </c>
    </row>
    <row r="32">
      <c r="A32" t="inlineStr">
        <is>
          <t>CBN2017_AAR</t>
        </is>
      </c>
      <c r="B32" t="inlineStr">
        <is>
          <t>Central Bank of Nigeria, Annual Activity Report 2017, Table 3.2 (I&amp;E, Inter-Bank and BDC Rates), p. 74 of the report (PDF page 89).</t>
        </is>
      </c>
      <c r="C32" t="inlineStr">
        <is>
          <t>Attached by user (cbn.gov.ng)</t>
        </is>
      </c>
      <c r="D32" t="inlineStr">
        <is>
          <t>2026-10-28</t>
        </is>
      </c>
      <c r="E32" t="inlineStr">
        <is>
          <t>2017 annual average NGN/USD: inter-bank 305.79; I&amp;E window 367.84 (Apr-Dec only); BDC 395.42. 2016 averages: inter-bank 253.49, BDC 372.86</t>
        </is>
      </c>
      <c r="F32" t="inlineStr">
        <is>
          <t>I&amp;E window began April 2017, so its average covers April to December only. Annual averages are as printed in the report.</t>
        </is>
      </c>
    </row>
    <row r="33">
      <c r="A33" t="inlineStr">
        <is>
          <t>NBS_LPGWatch</t>
        </is>
      </c>
      <c r="B33" t="inlineStr">
        <is>
          <t>National Bureau of Statistics, Liquefied Petroleum Gas (Cooking Gas) Price Watch, monthly. Figures via Nairametrics (Jul 2025), TheCable (Jun 2025), Vanguard (Dec 2025).</t>
        </is>
      </c>
      <c r="C33" t="inlineStr">
        <is>
          <t>https://nairametrics.com/2025/09/02/average-price-of-5kg-cooking-gas-falls-to-n8243-79-in-july-2025-nbs/ ; https://www.thecable.ng/nbs-12-5kg-cooking-gas-price-rose-to-n21010-in-june-highest-in-south-south ; https://www.vanguardngr.com/?p=2815145</t>
        </is>
      </c>
      <c r="D33" t="inlineStr">
        <is>
          <t>2026-10-28</t>
        </is>
      </c>
      <c r="E33" t="inlineStr">
        <is>
          <t>12.5kg refill, national average: Jun 2024 15,736.27; Dec 2024 17,274.16; May 2025 20,709.11; Jun 2025 21,010.56; Jul 2025 20,609.48; Nov 2025 13,538.79; Dec 2025 13,438.90 NGN</t>
        </is>
      </c>
      <c r="F33" t="inlineStr">
        <is>
          <t>Secondary reports of the NBS releases, not the NBS PDFs. Only 7 of 12 months of 2025 retrieved. Retail refill price, not an import price.</t>
        </is>
      </c>
    </row>
    <row r="34">
      <c r="A34" t="inlineStr">
        <is>
          <t>IPCC2006_Vol2_T1.2</t>
        </is>
      </c>
      <c r="B34" t="inlineStr">
        <is>
          <t>IPCC 2006 Guidelines for National GHG Inventories, Vol. 2 Energy, Table 1.2 default data (via UN-REDD Zambia workshop slides).</t>
        </is>
      </c>
      <c r="C34" t="inlineStr">
        <is>
          <t>https://un-redd.org/sites/default/files/2021-10/Session_11_1_Energy_Zambia_WS_2014.pdf</t>
        </is>
      </c>
      <c r="D34" t="inlineStr">
        <is>
          <t>2026-10-28</t>
        </is>
      </c>
      <c r="E34" t="inlineStr">
        <is>
          <t>LPG: CO2 63,100 kg/TJ (range 61,600 to 65,600); NCV 47.3 TJ/Gg</t>
        </is>
      </c>
      <c r="F34" t="inlineStr">
        <is>
          <t>Taken from a slide deck that reproduces the table; confirm against the IPCC volume if citing formally.</t>
        </is>
      </c>
    </row>
    <row r="35">
      <c r="A35" t="inlineStr">
        <is>
          <t>OnStove_LPG</t>
        </is>
      </c>
      <c r="B35" t="inlineStr">
        <is>
          <t>OnStove documentation, onstove.LPG defaults.</t>
        </is>
      </c>
      <c r="C35" t="inlineStr">
        <is>
          <t>https://onstove-documentation.readthedocs.io/en/v0.1.4/generated/onstove.LPG.html</t>
        </is>
      </c>
      <c r="D35" t="inlineStr">
        <is>
          <t>2026-10-28</t>
        </is>
      </c>
      <c r="E35" t="inlineStr">
        <is>
          <t>LPG stove efficiency 0.5; stove cost USD 44; stove life 7 years; energy content 45.5 MJ/kg; CO2 63 kg/GJ; cylinder cost USD 2.78/kg, cylinder life 15 years</t>
        </is>
      </c>
      <c r="F35" t="inlineStr">
        <is>
          <t>Modelling-tool defaults, not measured data.</t>
        </is>
      </c>
    </row>
    <row r="36">
      <c r="A36" t="inlineStr">
        <is>
          <t>Energypedia_LPG</t>
        </is>
      </c>
      <c r="B36" t="inlineStr">
        <is>
          <t>Energypedia, LPG cooking system.</t>
        </is>
      </c>
      <c r="C36" t="inlineStr">
        <is>
          <t>https://energypedia.info/wiki/LPG_cooking_system</t>
        </is>
      </c>
      <c r="D36" t="inlineStr">
        <is>
          <t>2026-10-28</t>
        </is>
      </c>
      <c r="E36" t="inlineStr">
        <is>
          <t>LPG stove efficiency about 55 to 60% (GIZ HERA 2014); traditional models about 55%, newer designs up to about 90%; stove cost USD 30 to 100 (ESMAP 2015)</t>
        </is>
      </c>
      <c r="F36" t="inlineStr">
        <is>
          <t>No lifetime given on the page.</t>
        </is>
      </c>
    </row>
    <row r="37">
      <c r="A37" t="inlineStr">
        <is>
          <t>NBS_LPG_Dec2025</t>
        </is>
      </c>
      <c r="B37" t="inlineStr">
        <is>
          <t>National Bureau of Statistics, Liquefied Petroleum Gas (Cooking Gas) Price Watch, December 2025 (report dated January 2026).</t>
        </is>
      </c>
      <c r="C37" t="inlineStr">
        <is>
          <t>Attached by user</t>
        </is>
      </c>
      <c r="D37" t="inlineStr">
        <is>
          <t>2026-10-28</t>
        </is>
      </c>
      <c r="E37" t="inlineStr">
        <is>
          <t>12.5 kg refill national averages 2025 (NGN): Jan 17,432.89; Feb 17,492.42; Mar 18,456.24; Apr 20,268.06; May 20,709.11; Jun 21,010.56; Jul 20,609.48; Aug 16,195.07; Sep 16,155.09; Oct 18,636.77; Nov 13,538.79; Dec 13,438.90; Dec 2024 17,274.16</t>
        </is>
      </c>
      <c r="F37" t="inlineStr">
        <is>
          <t>p. 10. Mean 17,828.62. Retail prices.</t>
        </is>
      </c>
    </row>
    <row r="38">
      <c r="A38" t="inlineStr">
        <is>
          <t>CBN2025_avg_currencyapi</t>
        </is>
      </c>
      <c r="B38" t="inlineStr">
        <is>
          <t>currencyapi.com, CBN USD exchange rates 2025: mean of 247 CBN publications.</t>
        </is>
      </c>
      <c r="C38" t="inlineStr">
        <is>
          <t>https://currencyapi.com/central-bank-exchange-rates/cbn/usd/2025</t>
        </is>
      </c>
      <c r="D38" t="inlineStr">
        <is>
          <t>2026-10-28</t>
        </is>
      </c>
      <c r="E38" t="inlineStr">
        <is>
          <t>2025 average 1,517.09 NGN/USD (min 1,421.23 on 31 Oct 2025; max 1,629.44 on 9 Apr 2025)</t>
        </is>
      </c>
      <c r="F38" t="inlineStr">
        <is>
          <t>Secondary aggregator of CBN published rates; the CBN market window and buy/sell/mid basis are not stated. Not recomputed by me. Replace with a CBN-published average if available.</t>
        </is>
      </c>
    </row>
    <row r="39">
      <c r="A39" t="inlineStr">
        <is>
          <t>DTU_GhanaLogistics</t>
        </is>
      </c>
      <c r="B39" t="inlineStr">
        <is>
          <t>DTU Orbit record: logistics cost analysis of rice residues for second-generation biofuel production, Ghana (full article not opened).</t>
        </is>
      </c>
      <c r="C39" t="inlineStr">
        <is>
          <t>https://orbit.dtu.dk/en/publications/logistics-cost-analysis-of-rice-residues-for-second-generation-bi/</t>
        </is>
      </c>
      <c r="D39" t="inlineStr">
        <is>
          <t>2026-10-28</t>
        </is>
      </c>
      <c r="E39" t="inlineStr">
        <is>
          <t>Ghana, 2014 USD: rice husk 2.64 USD/t (0.25 MWe husk gasification plant, 10 km roundtrip, all regions); rice straw 39.01 (Northern), 47.52 (Ashanti), 47.89 (Volta) USD/t</t>
        </is>
      </c>
      <c r="F39" t="inlineStr">
        <is>
          <t>Husk figure is mill-to-plant for a gasifier, not delivery to households. Collection, transport and storage are not broken out. Ghana, not Nigeria.</t>
        </is>
      </c>
    </row>
    <row r="40">
      <c r="A40" t="inlineStr">
        <is>
          <t>Mulugetta_Abakaliki</t>
        </is>
      </c>
      <c r="B40" t="inlineStr">
        <is>
          <t>Mulugetta et al., Techno-economic and environmental feasibility analysis of rice husk fired energy system, Renewable and Sustainable Energy Reviews (UCL Discovery).</t>
        </is>
      </c>
      <c r="C40" t="inlineStr">
        <is>
          <t>https://discovery-pp.ucl.ac.uk/10140326/1/Mulugetta_Techno-economic%20and%20Environmental%20Feasibility%20Analysis%20of%20Rice%20Husks%20fired%20Energy%20System%20-%20RSER%20journal.pdf</t>
        </is>
      </c>
      <c r="D40" t="inlineStr">
        <is>
          <t>2026-10-28</t>
        </is>
      </c>
      <c r="E40" t="inlineStr">
        <is>
          <t>Abakaliki cluster, Ebonyi State: 356 mills, husk ratio 0.23, 60.17 t/day; husk generated on site, dumped or burned in the open; no transport; parboiling uses firewood not husk</t>
        </is>
      </c>
      <c r="F40" t="inlineStr">
        <is>
          <t>No husk price reported. The paper's survey questionnaire (Springer ESM) asks for naira/bag husk prices but the file has no results.</t>
        </is>
      </c>
    </row>
    <row r="41">
      <c r="A41" t="inlineStr">
        <is>
          <t>Iye2013_availability</t>
        </is>
      </c>
      <c r="B41" t="inlineStr">
        <is>
          <t>Iye and Bilsborrow, Biomass and Bioenergy 48 (2013) 66-74 (already in project).</t>
        </is>
      </c>
      <c r="D41" t="inlineStr">
        <is>
          <t>2026-10-28</t>
        </is>
      </c>
      <c r="E41" t="inlineStr">
        <is>
          <t>Assumed 100% of processing residues available for bioenergy; much husk is hauled away to decompose or burn; RPR 0.26, LHV 19.93 MJ/kg</t>
        </is>
      </c>
      <c r="F41" t="inlineStr">
        <is>
          <t>Assumption in a potential study, not a measurement</t>
        </is>
      </c>
    </row>
    <row r="42">
      <c r="A42" t="inlineStr">
        <is>
          <t>Okoro2024_losses</t>
        </is>
      </c>
      <c r="B42" t="inlineStr">
        <is>
          <t>Okoro et al., Biomass and Bioenergy 190 (2024) 107403 (already in project), Section 3.1.1.</t>
        </is>
      </c>
      <c r="D42" t="inlineStr">
        <is>
          <t>2026-10-28</t>
        </is>
      </c>
      <c r="E42" t="inlineStr">
        <is>
          <t>Realistic assumptions for Nigerian residues: average 25% used for other applications (cooking, bedding, feed, construction); average 10% lost to logistics, storage, handling</t>
        </is>
      </c>
      <c r="F42" t="inlineStr">
        <is>
          <t>Average over all residues, not specific to rice husk</t>
        </is>
      </c>
    </row>
    <row r="43">
      <c r="A43" t="inlineStr">
        <is>
          <t>Mwea2017_uses</t>
        </is>
      </c>
      <c r="B43" t="inlineStr">
        <is>
          <t>Utilization of Rice Husks in Mwea Irrigation Scheme (Embu University, 2017 undergraduate project).</t>
        </is>
      </c>
      <c r="C43" t="inlineStr">
        <is>
          <t>https://repository.embuni.ac.ke/items/c88e00dd-f0c5-4a6e-8f90-f1f85f1f23c6/full</t>
        </is>
      </c>
      <c r="D43" t="inlineStr">
        <is>
          <t>2026-10-28</t>
        </is>
      </c>
      <c r="E43" t="inlineStr">
        <is>
          <t>Kenya: husk uses manure 10%, feed 10%, bedding 10%, bricks 13%, ash on farms 13%, charcoal briquettes 7%, mulch 10%; burned and dumped 22% of farmers and 20% of millers</t>
        </is>
      </c>
      <c r="F43" t="inlineStr">
        <is>
          <t>Kenya, not Nigeria; student project</t>
        </is>
      </c>
    </row>
    <row r="44">
      <c r="A44" t="inlineStr">
        <is>
          <t>ESONE_Nigeria_SI</t>
        </is>
      </c>
      <c r="B44" t="inlineStr">
        <is>
          <t>ESONE-Nigeria model, Energy and Environmental Science 2021 (DOI prefix d1ee00746g), Supplementary Information.</t>
        </is>
      </c>
      <c r="C44" t="inlineStr">
        <is>
          <t>https://www.rsc.org/suppdata/d1/ee/d1ee00746g/d1ee00746g1.pdf</t>
        </is>
      </c>
      <c r="D44" t="inlineStr">
        <is>
          <t>2026-10-29</t>
        </is>
      </c>
      <c r="E44" t="inlineStr">
        <is>
          <t>Discount rate 10% base case (Supp. Note 3, Table 1, p. 5), sourced to Fichtner; sensitivity analysis; 5-15% in other studies</t>
        </is>
      </c>
      <c r="F44" t="inlineStr">
        <is>
          <t>Real or nominal not stated; authors' full title to confirm</t>
        </is>
      </c>
    </row>
    <row r="45">
      <c r="A45" t="inlineStr">
        <is>
          <t>GrantThornton2018</t>
        </is>
      </c>
      <c r="B45" t="inlineStr">
        <is>
          <t>Grant Thornton, Africa renewable energy discount rate survey 2018.</t>
        </is>
      </c>
      <c r="C45" t="inlineStr">
        <is>
          <t>https://grantthornton.co.uk/globalassets/1.-member-firms/united-kingdom/pdf/documents/africa-renewable-energy-discount-rate-survey-2018.pdf</t>
        </is>
      </c>
      <c r="D45" t="inlineStr">
        <is>
          <t>2026-10-29</t>
        </is>
      </c>
      <c r="E45" t="inlineStr">
        <is>
          <t>Nigeria renewable-project discount rates 13.5%, 14.75%, 15.29%, 17% (p. 8)</t>
        </is>
      </c>
      <c r="F45" t="inlineStr">
        <is>
          <t>Project WACC style rates for solar and wind; technology mapping and nominal/real not shown in the text extraction; 2018</t>
        </is>
      </c>
    </row>
    <row r="46">
      <c r="A46" t="inlineStr">
        <is>
          <t>Frontiers2024_PortHarcourt</t>
        </is>
      </c>
      <c r="B46" t="inlineStr">
        <is>
          <t>Frontiers in Energy Research 2024, solar PV/battery/diesel hybrid for a supermarket in Port Harcourt (HOMER Pro).</t>
        </is>
      </c>
      <c r="C46" t="inlineStr">
        <is>
          <t>https://www.frontiersin.org/articles/10.3389/fenrg.2024.1397037/full</t>
        </is>
      </c>
      <c r="D46" t="inlineStr">
        <is>
          <t>2026-10-29</t>
        </is>
      </c>
      <c r="E46" t="inlineStr">
        <is>
          <t>Discount rate 8% assumed, no source; CBN monetary policy rate median 12% (range 6-22.8%) over 18 years cited only to bound results</t>
        </is>
      </c>
      <c r="F46" t="inlineStr">
        <is>
          <t>Single-site study; assumption not sourced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2" customWidth="1" min="3" max="3"/>
    <col width="20" customWidth="1" min="4" max="4"/>
    <col width="60" customWidth="1" min="5" max="5"/>
  </cols>
  <sheetData>
    <row r="1">
      <c r="A1" s="1" t="inlineStr">
        <is>
          <t>Item</t>
        </is>
      </c>
      <c r="B1" s="1" t="inlineStr">
        <is>
          <t>Decision</t>
        </is>
      </c>
      <c r="C1" s="1" t="inlineStr">
        <is>
          <t>Status</t>
        </is>
      </c>
      <c r="D1" s="1" t="inlineStr">
        <is>
          <t>Decided with / date</t>
        </is>
      </c>
      <c r="E1" s="1" t="inlineStr">
        <is>
          <t>Consequence</t>
        </is>
      </c>
    </row>
    <row r="2">
      <c r="A2" t="inlineStr">
        <is>
          <t>Reference (base) year</t>
        </is>
      </c>
      <c r="B2" t="inlineStr">
        <is>
          <t>2025</t>
        </is>
      </c>
      <c r="C2" t="inlineStr">
        <is>
          <t>Decided</t>
        </is>
      </c>
      <c r="D2" t="inlineStr">
        <is>
          <t>Hilla, 2026-10-28</t>
        </is>
      </c>
      <c r="E2" t="inlineStr">
        <is>
          <t>reference_year: 2025 in system.yaml</t>
        </is>
      </c>
    </row>
    <row r="3">
      <c r="A3" t="inlineStr">
        <is>
          <t>Currency</t>
        </is>
      </c>
      <c r="B3" t="inlineStr">
        <is>
          <t>USD</t>
        </is>
      </c>
      <c r="C3" t="inlineStr">
        <is>
          <t>Decided</t>
        </is>
      </c>
      <c r="D3" t="inlineStr">
        <is>
          <t>Hilla, 2026-10-28</t>
        </is>
      </c>
      <c r="E3" t="inlineStr">
        <is>
          <t>base unit megaUSD; template Euro units replaced</t>
        </is>
      </c>
    </row>
    <row r="4">
      <c r="A4" t="inlineStr">
        <is>
          <t>Price year</t>
        </is>
      </c>
      <c r="B4" t="inlineStr">
        <is>
          <t>2025 USD for all costs</t>
        </is>
      </c>
      <c r="C4" t="inlineStr">
        <is>
          <t>Decided</t>
        </is>
      </c>
      <c r="D4" t="inlineStr">
        <is>
          <t>Hilla, 2026-10-28</t>
        </is>
      </c>
      <c r="E4" t="inlineStr">
        <is>
          <t>Convert all costs to 2025 USD with US CPI; keep original currency and year in Parameters</t>
        </is>
      </c>
    </row>
    <row r="5">
      <c r="A5" t="inlineStr">
        <is>
          <t>Discount rate</t>
        </is>
      </c>
      <c r="B5" t="inlineStr">
        <is>
          <t>Real; range 10 to 12% proposed</t>
        </is>
      </c>
      <c r="C5" t="inlineStr">
        <is>
          <t>Open</t>
        </is>
      </c>
      <c r="E5" t="inlineStr">
        <is>
          <t>Run as sensitivity</t>
        </is>
      </c>
    </row>
    <row r="6">
      <c r="A6" t="inlineStr">
        <is>
          <t>Grid loss basis</t>
        </is>
      </c>
      <c r="B6" t="inlineStr">
        <is>
          <t>Technical vs total (ATC&amp;C) loss</t>
        </is>
      </c>
      <c r="C6" t="inlineStr">
        <is>
          <t>Open</t>
        </is>
      </c>
      <c r="E6" t="inlineStr">
        <is>
          <t>Sets grid_delivery conversion factor</t>
        </is>
      </c>
    </row>
    <row r="7">
      <c r="A7" t="inlineStr">
        <is>
          <t>Cooking demand, central</t>
        </is>
      </c>
      <c r="B7" t="inlineStr">
        <is>
          <t>Option A: 800 MJ useful per capita per year (Ibitoye 2013) x 237,527,782 persons = 6.03 GW</t>
        </is>
      </c>
      <c r="C7" t="inlineStr">
        <is>
          <t>Decided</t>
        </is>
      </c>
      <c r="D7" t="inlineStr">
        <is>
          <t>Hilla, 2026-10-28</t>
        </is>
      </c>
      <c r="E7" t="inlineStr">
        <is>
          <t>datasets/nigeria_stage1_rice_husk</t>
        </is>
      </c>
    </row>
    <row r="8">
      <c r="A8" t="inlineStr">
        <is>
          <t>Cooking demand, upper scenario</t>
        </is>
      </c>
      <c r="B8" t="inlineStr">
        <is>
          <t>Option C2: 2014 household wood and charcoal x lab efficiencies = 11.66 GW</t>
        </is>
      </c>
      <c r="C8" t="inlineStr">
        <is>
          <t>Decided</t>
        </is>
      </c>
      <c r="D8" t="inlineStr">
        <is>
          <t>Hilla, 2026-10-28</t>
        </is>
      </c>
      <c r="E8" t="inlineStr">
        <is>
          <t>datasets/nigeria_stage1_rice_husk_upper (build_slice.py ... upper)</t>
        </is>
      </c>
    </row>
    <row r="9">
      <c r="A9" t="inlineStr">
        <is>
          <t>Population 2025</t>
        </is>
      </c>
      <c r="B9" t="inlineStr">
        <is>
          <t>237,527,782 (World Bank); use 237.5 million</t>
        </is>
      </c>
      <c r="C9" t="inlineStr">
        <is>
          <t>Decided</t>
        </is>
      </c>
      <c r="D9" t="inlineStr">
        <is>
          <t>Hilla, 2026-10-28</t>
        </is>
      </c>
      <c r="E9" t="inlineStr">
        <is>
          <t>Cite World Bank WDI URL and access date in Sources</t>
        </is>
      </c>
    </row>
    <row r="10">
      <c r="A10" t="inlineStr">
        <is>
          <t>Rice husk cap, central</t>
        </is>
      </c>
      <c r="B10" t="inlineStr">
        <is>
          <t>H2: P 9,129,900 t (FAOSTAT 2024), rho 0.26, kappa 0.4, LHV 15.205 MJ/kg, U 0</t>
        </is>
      </c>
      <c r="C10" t="inlineStr">
        <is>
          <t>Decided</t>
        </is>
      </c>
      <c r="D10" t="inlineStr">
        <is>
          <t>Hilla, 2026-10-28</t>
        </is>
      </c>
      <c r="E10" t="inlineStr">
        <is>
          <t>availability_import_yearly for processing_residue, 4010 GWh/yr</t>
        </is>
      </c>
    </row>
    <row r="11">
      <c r="A11" t="inlineStr">
        <is>
          <t>Improved husk stove efficiency</t>
        </is>
      </c>
      <c r="B11" t="inlineStr">
        <is>
          <t>21.1% (source value). Hilla wrote 21.2%; flagged</t>
        </is>
      </c>
      <c r="C11" t="inlineStr">
        <is>
          <t>Decided, confirm</t>
        </is>
      </c>
      <c r="D11" t="inlineStr">
        <is>
          <t>Hilla, 2026-10-28</t>
        </is>
      </c>
      <c r="E11" t="inlineStr">
        <is>
          <t>conversion_factor 4.7393 for improved_stove_biomass</t>
        </is>
      </c>
    </row>
    <row r="12">
      <c r="A12" t="inlineStr">
        <is>
          <t>Cost conversion route</t>
        </is>
      </c>
      <c r="B12" t="inlineStr">
        <is>
          <t>Open: USD-native sources plus US CPI only, or convert naira prices with an exchange-rate source</t>
        </is>
      </c>
      <c r="C12" t="inlineStr">
        <is>
          <t>Open</t>
        </is>
      </c>
      <c r="E12" t="inlineStr">
        <is>
          <t>See Options_stove_cost_life sheet</t>
        </is>
      </c>
    </row>
    <row r="13">
      <c r="A13" t="inlineStr">
        <is>
          <t>FX source for stove prices</t>
        </is>
      </c>
      <c r="B13" t="inlineStr">
        <is>
          <t>CBN official rates, 2017 annual average (CBN Annual Activity Report 2017, Table 3.2)</t>
        </is>
      </c>
      <c r="C13" t="inlineStr">
        <is>
          <t>Decided (source); rate within CBN open</t>
        </is>
      </c>
      <c r="D13" t="inlineStr">
        <is>
          <t>Hilla, 2026-10-28</t>
        </is>
      </c>
      <c r="E13" t="inlineStr">
        <is>
          <t>Inter-bank 305.79 vs I&amp;E 367.84 vs BDC 395.42 NGN/USD; user to pick</t>
        </is>
      </c>
    </row>
    <row r="14">
      <c r="A14" t="inlineStr">
        <is>
          <t>Stove capacity convention</t>
        </is>
      </c>
      <c r="B14" t="inlineStr">
        <is>
          <t>Option 1: capacity = average useful cooking heat delivered, max_load 1; capex per kW = stove price / average useful kW per stove</t>
        </is>
      </c>
      <c r="C14" t="inlineStr">
        <is>
          <t>Decided</t>
        </is>
      </c>
      <c r="D14" t="inlineStr">
        <is>
          <t>Hilla, 2026-10-28</t>
        </is>
      </c>
      <c r="E14" t="inlineStr">
        <is>
          <t>Simple stage-1 model; revisit if a cooking peak is modelled (Option 2)</t>
        </is>
      </c>
    </row>
    <row r="15">
      <c r="A15" t="inlineStr">
        <is>
          <t>FX rate for stove prices</t>
        </is>
      </c>
      <c r="B15" t="inlineStr">
        <is>
          <t>CBN I&amp;E window 2017 annual average, NGN 367.84/USD (April-December)</t>
        </is>
      </c>
      <c r="C15" t="inlineStr">
        <is>
          <t>Decided</t>
        </is>
      </c>
      <c r="D15" t="inlineStr">
        <is>
          <t>Hilla, 2026-10-28</t>
        </is>
      </c>
      <c r="E15" t="inlineStr">
        <is>
          <t>CBN2017_AAR Table 3.2</t>
        </is>
      </c>
    </row>
    <row r="16">
      <c r="A16" t="inlineStr">
        <is>
          <t>Stove price and lifetime</t>
        </is>
      </c>
      <c r="B16" t="inlineStr">
        <is>
          <t>USD 30 per stove (2025 USD), 5 years</t>
        </is>
      </c>
      <c r="C16" t="inlineStr">
        <is>
          <t>Decided</t>
        </is>
      </c>
      <c r="D16" t="inlineStr">
        <is>
          <t>Hilla, 2026-10-28</t>
        </is>
      </c>
      <c r="E16" t="inlineStr">
        <is>
          <t>Capex 262.8 MUSD/GW under Option 1</t>
        </is>
      </c>
    </row>
    <row r="17">
      <c r="A17" t="inlineStr">
        <is>
          <t>LPG price basis</t>
        </is>
      </c>
      <c r="B17" t="inlineStr">
        <is>
          <t>Option A: 12-month 2025 mean of NBS 12.5 kg refill prices; CBN 2025 average rate; IPCC 2006 NCV 47.3 MJ/kg</t>
        </is>
      </c>
      <c r="C17" t="inlineStr">
        <is>
          <t>Decided</t>
        </is>
      </c>
      <c r="D17" t="inlineStr">
        <is>
          <t>Hilla, 2026-10-28</t>
        </is>
      </c>
      <c r="E17" t="inlineStr">
        <is>
          <t>71.55 kUSD/GWh</t>
        </is>
      </c>
    </row>
    <row r="18">
      <c r="A18" t="inlineStr">
        <is>
          <t>LPG CO2 factor</t>
        </is>
      </c>
      <c r="B18" t="inlineStr">
        <is>
          <t>IPCC 2006 default 63,100 kg/TJ</t>
        </is>
      </c>
      <c r="C18" t="inlineStr">
        <is>
          <t>Decided</t>
        </is>
      </c>
      <c r="D18" t="inlineStr">
        <is>
          <t>Hilla, 2026-10-28</t>
        </is>
      </c>
      <c r="E18" t="inlineStr">
        <is>
          <t>0.22716 kt/GWh</t>
        </is>
      </c>
    </row>
    <row r="19">
      <c r="A19" t="inlineStr">
        <is>
          <t>LPG stove efficiency and cost</t>
        </is>
      </c>
      <c r="B19" t="inlineStr">
        <is>
          <t>50% efficiency and USD 44 'for now'; lifetime 7 years assumed (not chosen)</t>
        </is>
      </c>
      <c r="C19" t="inlineStr">
        <is>
          <t>Decided, lifetime to confirm</t>
        </is>
      </c>
      <c r="D19" t="inlineStr">
        <is>
          <t>Hilla, 2026-10-28</t>
        </is>
      </c>
      <c r="E19" t="inlineStr">
        <is>
          <t>conversion_factor 2.0; capex 385.4 MUSD/GW</t>
        </is>
      </c>
    </row>
    <row r="20">
      <c r="A20" t="inlineStr">
        <is>
          <t>Existing LPG stove stock</t>
        </is>
      </c>
      <c r="B20" t="inlineStr">
        <is>
          <t>22.6% of households (GHS-Panel W5 primary stove), 1.3618 GW, vintage 2022 assumed</t>
        </is>
      </c>
      <c r="C20" t="inlineStr">
        <is>
          <t>Decided by default; confirm</t>
        </is>
      </c>
      <c r="D20" t="inlineStr">
        <is>
          <t>Claude, 2026-10-28</t>
        </is>
      </c>
      <c r="E20" t="inlineStr">
        <is>
          <t>Alternative 23.2% = 1.398 GW</t>
        </is>
      </c>
    </row>
    <row r="21">
      <c r="A21" t="inlineStr">
        <is>
          <t>Rice husk competing use U</t>
        </is>
      </c>
      <c r="B21" t="inlineStr">
        <is>
          <t>25% of recoverable husk R (Okoro 2024 average)</t>
        </is>
      </c>
      <c r="C21" t="inlineStr">
        <is>
          <t>Decided</t>
        </is>
      </c>
      <c r="D21" t="inlineStr">
        <is>
          <t>Hilla, 2026-10-29</t>
        </is>
      </c>
      <c r="E21" t="inlineStr">
        <is>
          <t>Cap 3,007.8 GWh/yr (was 4,010.4)</t>
        </is>
      </c>
    </row>
    <row r="22">
      <c r="A22" t="inlineStr">
        <is>
          <t>Rice husk collection cost</t>
        </is>
      </c>
      <c r="B22" t="inlineStr">
        <is>
          <t>Ghana 2.64 USD/t (2014) x US CPI 1.3606 = 0.8505 kUSD/GWh</t>
        </is>
      </c>
      <c r="C22" t="inlineStr">
        <is>
          <t>Decided</t>
        </is>
      </c>
      <c r="D22" t="inlineStr">
        <is>
          <t>Hilla, 2026-10-29</t>
        </is>
      </c>
      <c r="E22" t="inlineStr">
        <is>
          <t>Mill-to-plant proxy</t>
        </is>
      </c>
    </row>
    <row r="23">
      <c r="A23" t="inlineStr">
        <is>
          <t>Collection loss and capex</t>
        </is>
      </c>
      <c r="B23" t="inlineStr">
        <is>
          <t>0% loss, capex 0, for now</t>
        </is>
      </c>
      <c r="C23" t="inlineStr">
        <is>
          <t>Decided</t>
        </is>
      </c>
      <c r="D23" t="inlineStr">
        <is>
          <t>Hilla, 2026-10-29</t>
        </is>
      </c>
      <c r="E23" t="inlineStr">
        <is>
          <t>Revisit; collection lifetime remains a 15-year placeholder</t>
        </is>
      </c>
    </row>
    <row r="24">
      <c r="A24" t="inlineStr">
        <is>
          <t>Discount rate</t>
        </is>
      </c>
      <c r="B24" t="inlineStr">
        <is>
          <t>10% (ESONE-Nigeria base case); sensitivities 5%, 8%, 15%; real/nominal basis unresolved</t>
        </is>
      </c>
      <c r="C24" t="inlineStr">
        <is>
          <t>Decided</t>
        </is>
      </c>
      <c r="D24" t="inlineStr">
        <is>
          <t>Hilla, 2026-10-29</t>
        </is>
      </c>
      <c r="E24" t="inlineStr">
        <is>
          <t>Applies to all capex annuities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6" customWidth="1" min="3" max="3"/>
    <col width="22" customWidth="1" min="4" max="4"/>
    <col width="22" customWidth="1" min="5" max="5"/>
    <col width="60" customWidth="1" min="6" max="6"/>
  </cols>
  <sheetData>
    <row r="1">
      <c r="A1" s="6" t="inlineStr">
        <is>
          <t>Symbol</t>
        </is>
      </c>
      <c r="B1" s="6" t="inlineStr">
        <is>
          <t>Quantity</t>
        </is>
      </c>
      <c r="C1" s="6" t="inlineStr">
        <is>
          <t>Value</t>
        </is>
      </c>
      <c r="D1" s="6" t="inlineStr">
        <is>
          <t>Unit</t>
        </is>
      </c>
      <c r="E1" s="6" t="inlineStr">
        <is>
          <t>Source key</t>
        </is>
      </c>
      <c r="F1" s="6" t="inlineStr">
        <is>
          <t>Note</t>
        </is>
      </c>
    </row>
    <row r="2">
      <c r="A2" t="inlineStr">
        <is>
          <t>Npop</t>
        </is>
      </c>
      <c r="B2" t="inlineStr">
        <is>
          <t>Population 2025</t>
        </is>
      </c>
      <c r="C2" s="7" t="n">
        <v>237527782</v>
      </c>
      <c r="D2" t="inlineStr">
        <is>
          <t>persons</t>
        </is>
      </c>
      <c r="E2" t="inlineStr">
        <is>
          <t>WorldBank_pop</t>
        </is>
      </c>
      <c r="F2" t="inlineStr">
        <is>
          <t>World Bank 2025</t>
        </is>
      </c>
    </row>
    <row r="3">
      <c r="A3" t="inlineStr">
        <is>
          <t>s</t>
        </is>
      </c>
      <c r="B3" t="inlineStr">
        <is>
          <t>Mean household size</t>
        </is>
      </c>
      <c r="C3" s="4" t="n">
        <v>4.5</v>
      </c>
      <c r="D3" t="inlineStr">
        <is>
          <t>persons/household</t>
        </is>
      </c>
      <c r="E3" t="inlineStr">
        <is>
          <t>NDHS2024_SR294</t>
        </is>
      </c>
      <c r="F3" t="inlineStr">
        <is>
          <t>p. 2</t>
        </is>
      </c>
    </row>
    <row r="4">
      <c r="A4" t="inlineStr">
        <is>
          <t>e</t>
        </is>
      </c>
      <c r="B4" t="inlineStr">
        <is>
          <t>Useful cooking energy per household</t>
        </is>
      </c>
      <c r="C4" s="4" t="n">
        <v>1000</v>
      </c>
      <c r="D4" t="inlineStr">
        <is>
          <t>kWh useful/household/yr</t>
        </is>
      </c>
      <c r="E4" t="inlineStr">
        <is>
          <t>Ibitoye2013</t>
        </is>
      </c>
      <c r="F4" t="inlineStr">
        <is>
          <t>800 MJ/cap/yr x s / 3.6; central value (option A)</t>
        </is>
      </c>
    </row>
    <row r="5">
      <c r="A5" t="inlineStr">
        <is>
          <t>HH</t>
        </is>
      </c>
      <c r="B5" t="inlineStr">
        <is>
          <t>Households  = Npop / s</t>
        </is>
      </c>
      <c r="C5" s="8">
        <f>IF(AND(ISNUMBER(C2),ISNUMBER(C3)),C2/C3,"")</f>
        <v/>
      </c>
      <c r="D5" t="inlineStr">
        <is>
          <t>households</t>
        </is>
      </c>
      <c r="F5" t="inlineStr">
        <is>
          <t>formula</t>
        </is>
      </c>
    </row>
    <row r="6">
      <c r="A6" t="inlineStr">
        <is>
          <t>D</t>
        </is>
      </c>
      <c r="B6" t="inlineStr">
        <is>
          <t>Demand  = HH x e / 1e6</t>
        </is>
      </c>
      <c r="C6">
        <f>IF(AND(ISNUMBER(C5),ISNUMBER(C4)),C5*C4/1000000,"")</f>
        <v/>
      </c>
      <c r="D6" t="inlineStr">
        <is>
          <t>GWh useful/yr</t>
        </is>
      </c>
      <c r="F6" t="inlineStr">
        <is>
          <t>formula</t>
        </is>
      </c>
    </row>
    <row r="7">
      <c r="A7" t="inlineStr">
        <is>
          <t>P</t>
        </is>
      </c>
      <c r="B7" t="inlineStr">
        <is>
          <t>Demand as constant power  = D / 8760</t>
        </is>
      </c>
      <c r="C7">
        <f>IF(ISNUMBER(C6),C6/8760,"")</f>
        <v/>
      </c>
      <c r="D7" t="inlineStr">
        <is>
          <t>GW</t>
        </is>
      </c>
      <c r="F7" t="inlineStr">
        <is>
          <t>-&gt; Parameters: cooking_service demand (GW)</t>
        </is>
      </c>
    </row>
    <row r="9">
      <c r="B9" t="inlineStr">
        <is>
          <t>UPPER SCENARIO (option C2)</t>
        </is>
      </c>
    </row>
    <row r="10">
      <c r="A10" t="inlineStr">
        <is>
          <t>P_up</t>
        </is>
      </c>
      <c r="B10" t="inlineStr">
        <is>
          <t>Upper-scenario demand as constant power</t>
        </is>
      </c>
      <c r="C10" s="4" t="n">
        <v>11.6593</v>
      </c>
      <c r="D10" t="inlineStr">
        <is>
          <t>GW</t>
        </is>
      </c>
      <c r="E10" t="inlineStr">
        <is>
          <t>Olanrewaju2019 + Jekayinfa2020</t>
        </is>
      </c>
      <c r="F10" t="inlineStr">
        <is>
          <t>2014 household wood 46 Mt and charcoal 3.2 Mt x LHV x lab efficiencies (34.56%, 64.38%). Wood and charcoal only; used as an upper bound, not a 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6" customWidth="1" min="3" max="3"/>
    <col width="22" customWidth="1" min="4" max="4"/>
    <col width="22" customWidth="1" min="5" max="5"/>
    <col width="18" customWidth="1" min="6" max="6"/>
    <col width="18" customWidth="1" min="7" max="7"/>
    <col width="40" customWidth="1" min="8" max="8"/>
    <col width="70" customWidth="1" min="9" max="9"/>
  </cols>
  <sheetData>
    <row r="1">
      <c r="A1" s="6" t="inlineStr">
        <is>
          <t>Option</t>
        </is>
      </c>
      <c r="B1" s="6" t="inlineStr">
        <is>
          <t>What it is</t>
        </is>
      </c>
      <c r="C1" s="6" t="inlineStr">
        <is>
          <t>Basis</t>
        </is>
      </c>
      <c r="D1" s="6" t="inlineStr">
        <is>
          <t>Useful energy</t>
        </is>
      </c>
      <c r="E1" s="6" t="inlineStr">
        <is>
          <t>Per household, kWh useful/yr (4.5 persons)</t>
        </is>
      </c>
      <c r="F1" s="6" t="inlineStr">
        <is>
          <t>National useful energy, PJ/yr (year differs by option)</t>
        </is>
      </c>
      <c r="G1" s="6" t="inlineStr">
        <is>
          <t>Same as constant power, GW (/8760 h)</t>
        </is>
      </c>
      <c r="H1" s="6" t="inlineStr">
        <is>
          <t>Source</t>
        </is>
      </c>
      <c r="I1" s="6" t="inlineStr">
        <is>
          <t>Caveats</t>
        </is>
      </c>
    </row>
    <row r="2">
      <c r="A2" s="2" t="inlineStr">
        <is>
          <t>A</t>
        </is>
      </c>
      <c r="B2" s="2" t="inlineStr">
        <is>
          <t>Per-capita useful energy, bottom-up</t>
        </is>
      </c>
      <c r="C2" s="2" t="inlineStr">
        <is>
          <t>800 MJ/capita/yr (700-900)</t>
        </is>
      </c>
      <c r="D2" s="2" t="inlineStr">
        <is>
          <t>800 MJ/cap/yr</t>
        </is>
      </c>
      <c r="E2" s="9">
        <f>800*4.5/3.6</f>
        <v/>
      </c>
      <c r="F2" s="10">
        <f>800*237527782/1e9</f>
        <v/>
      </c>
      <c r="G2" s="10">
        <f>F2/3.6*1000/8760</f>
        <v/>
      </c>
      <c r="H2" s="2" t="inlineStr">
        <is>
          <t>Ibitoye 2013 (SpringerPlus 2:529)</t>
        </is>
      </c>
      <c r="I2" s="2" t="inlineStr">
        <is>
          <t>Assumed value from two surveys, applied by the paper in a LEAP model; survey names and year not stated in the text I read. Applying it to the 2025 population (candidate figure) assumes no change in per-capita need.</t>
        </is>
      </c>
    </row>
    <row r="3">
      <c r="A3" s="2" t="inlineStr">
        <is>
          <t>B</t>
        </is>
      </c>
      <c r="B3" s="2" t="inlineStr">
        <is>
          <t>National useful energy from a published national model, scaled</t>
        </is>
      </c>
      <c r="C3" s="2" t="inlineStr">
        <is>
          <t>247.9 PJ in 2003 with 22.9 million stoves</t>
        </is>
      </c>
      <c r="D3" s="2" t="inlineStr">
        <is>
          <t>10.8 GJ per stove (my arithmetic)</t>
        </is>
      </c>
      <c r="E3" s="2" t="inlineStr">
        <is>
          <t>(stove count is not households)</t>
        </is>
      </c>
      <c r="F3" s="10" t="inlineStr">
        <is>
          <t>247.9 (2003 value, NOT 2025)</t>
        </is>
      </c>
      <c r="G3" s="10">
        <f>247.9/3.6*1000/8760</f>
        <v/>
      </c>
      <c r="H3" s="2" t="inlineStr">
        <is>
          <t>Gujba et al. 2015 (Resources 4:412), Tables 1 and 4</t>
        </is>
      </c>
      <c r="I3" s="2" t="inlineStr">
        <is>
          <t>Base year 2003. Paper projects 596.3 PJ in 2020 and 999.4 PJ in 2030 (business as usual), i.e. 18.9 GW and 31.7 GW: a different order of magnitude from A and C. Check what its useful-energy definition and stove count include before using.</t>
        </is>
      </c>
    </row>
    <row r="4">
      <c r="A4" s="2" t="inlineStr">
        <is>
          <t>C1</t>
        </is>
      </c>
      <c r="B4" s="2" t="inlineStr">
        <is>
          <t>Top-down: household wood and charcoal x LHV x low field efficiencies</t>
        </is>
      </c>
      <c r="C4" s="2" t="inlineStr">
        <is>
          <t>2014: wood 46 Mt, charcoal 3.2 Mt; LHV 19.5 and 28 MJ/kg; efficiency 18% and 22%</t>
        </is>
      </c>
      <c r="D4" s="2" t="inlineStr">
        <is>
          <t>(national only)</t>
        </is>
      </c>
      <c r="E4" s="2" t="inlineStr">
        <is>
          <t>(national only)</t>
        </is>
      </c>
      <c r="F4" s="10">
        <f>(46e9*19.5*0.18+3.2e9*28*0.22)/1e9</f>
        <v/>
      </c>
      <c r="G4" s="10">
        <f>F4/3.6*1000/8760</f>
        <v/>
      </c>
      <c r="H4" s="2" t="inlineStr">
        <is>
          <t>Olanrewaju 2019 (UNdata 2017 quantities); Jekayinfa 2020 (LHV); Gujba 2015 (efficiency)</t>
        </is>
      </c>
      <c r="I4" s="2" t="inlineStr">
        <is>
          <t>Wood and charcoal only: excludes kerosene and LPG. Year 2014, not 2025. Fuel quantities are not re-checked against UNdata/FAO. Efficiencies from 2003 base.</t>
        </is>
      </c>
    </row>
    <row r="5">
      <c r="A5" s="2" t="inlineStr">
        <is>
          <t>C2</t>
        </is>
      </c>
      <c r="B5" s="2" t="inlineStr">
        <is>
          <t>Same as C1 with laboratory efficiencies</t>
        </is>
      </c>
      <c r="C5" s="2" t="inlineStr">
        <is>
          <t>efficiency 34.56% (three-stone) and 64.38% (charcoal stove)</t>
        </is>
      </c>
      <c r="D5" s="2" t="inlineStr">
        <is>
          <t>(national only)</t>
        </is>
      </c>
      <c r="E5" s="2" t="inlineStr">
        <is>
          <t>(national only)</t>
        </is>
      </c>
      <c r="F5" s="10">
        <f>(46e9*19.5*0.3456+3.2e9*28*0.6438)/1e9</f>
        <v/>
      </c>
      <c r="G5" s="10">
        <f>F5/3.6*1000/8760</f>
        <v/>
      </c>
      <c r="H5" s="2" t="inlineStr">
        <is>
          <t>as C1, efficiencies from Bello et al. 2015 as quoted in Jekayinfa 2020</t>
        </is>
      </c>
      <c r="I5" s="2" t="inlineStr">
        <is>
          <t>Bello values are controlled-test efficiencies and are higher than typical field use. Gives roughly twice C1: efficiency choice alone shifts the answer by a factor of two.</t>
        </is>
      </c>
    </row>
    <row r="7">
      <c r="B7" t="inlineStr">
        <is>
          <t>Population 2025 used in A (candidate figure, see Parameters sheet)</t>
        </is>
      </c>
      <c r="C7" t="n">
        <v>237527782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0" customWidth="1" min="9" max="9"/>
    <col width="16" customWidth="1" min="10" max="10"/>
    <col width="60" customWidth="1" min="11" max="11"/>
  </cols>
  <sheetData>
    <row r="1">
      <c r="A1" s="11" t="inlineStr">
        <is>
          <t>Option</t>
        </is>
      </c>
      <c r="B1" s="11" t="inlineStr">
        <is>
          <t>Description</t>
        </is>
      </c>
      <c r="C1" s="11" t="inlineStr">
        <is>
          <t>P paddy (t/yr)</t>
        </is>
      </c>
      <c r="D1" s="11" t="inlineStr">
        <is>
          <t>rho (t husk / t paddy)</t>
        </is>
      </c>
      <c r="E1" s="11" t="inlineStr">
        <is>
          <t>kappa (collectable share)</t>
        </is>
      </c>
      <c r="F1" s="11" t="inlineStr">
        <is>
          <t>U competing uses (t/yr)</t>
        </is>
      </c>
      <c r="G1" s="11" t="inlineStr">
        <is>
          <t>h LHV (MJ/kg dry)</t>
        </is>
      </c>
      <c r="H1" s="11" t="inlineStr">
        <is>
          <t>T = P x rho (Mt)</t>
        </is>
      </c>
      <c r="I1" s="11" t="inlineStr">
        <is>
          <t>S (Mt)</t>
        </is>
      </c>
      <c r="J1" s="11" t="inlineStr">
        <is>
          <t>E = S x h / 3600 (GWh/yr)</t>
        </is>
      </c>
      <c r="K1" s="11" t="inlineStr">
        <is>
          <t>Sources</t>
        </is>
      </c>
    </row>
    <row r="2">
      <c r="A2" s="2" t="inlineStr">
        <is>
          <t>H1</t>
        </is>
      </c>
      <c r="B2" s="2" t="inlineStr">
        <is>
          <t>As published by Iye &amp; Bilsborrow 2013: all husk available</t>
        </is>
      </c>
      <c r="C2" s="9" t="n">
        <v>9129900</v>
      </c>
      <c r="D2" s="2" t="n">
        <v>0.26</v>
      </c>
      <c r="E2" s="2" t="n">
        <v>1</v>
      </c>
      <c r="F2" s="2" t="n">
        <v>0</v>
      </c>
      <c r="G2" s="2" t="n">
        <v>19.93</v>
      </c>
      <c r="H2" s="12">
        <f>C2*D2/1e6</f>
        <v/>
      </c>
      <c r="I2" s="12">
        <f>MAX(0,MIN(E2*C2*D2,C2*D2)-F2)/1e6</f>
        <v/>
      </c>
      <c r="J2" s="9">
        <f>I2*1e6*G2/3600</f>
        <v/>
      </c>
      <c r="K2" s="2" t="inlineStr">
        <is>
          <t>rho and LHV: Iye2013 Table 3; kappa 1.0: Iye2013 assumption</t>
        </is>
      </c>
    </row>
    <row r="3">
      <c r="A3" s="2" t="inlineStr">
        <is>
          <t>H2</t>
        </is>
      </c>
      <c r="B3" s="2" t="inlineStr">
        <is>
          <t>Availability factor 0.4 for rice residue (Ukoba 2023, Jekayinfa 2020); mid LHV</t>
        </is>
      </c>
      <c r="C3" s="9" t="n">
        <v>9129900</v>
      </c>
      <c r="D3" s="2" t="n">
        <v>0.26</v>
      </c>
      <c r="E3" s="2" t="n">
        <v>0.4</v>
      </c>
      <c r="F3" s="2" t="n">
        <v>0</v>
      </c>
      <c r="G3" s="2" t="n">
        <v>15.205</v>
      </c>
      <c r="H3" s="12">
        <f>C3*D3/1e6</f>
        <v/>
      </c>
      <c r="I3" s="12">
        <f>MAX(0,MIN(E3*C3*D3,C3*D3)-F3)/1e6</f>
        <v/>
      </c>
      <c r="J3" s="9">
        <f>I3*1e6*G3/3600</f>
        <v/>
      </c>
      <c r="K3" s="2" t="inlineStr">
        <is>
          <t>rho: Iye2013; kappa 0.4: Ukoba2023 (AF); h: midpoint of Ukoba2023 14.0-16.41</t>
        </is>
      </c>
    </row>
    <row r="4">
      <c r="A4" s="2" t="inlineStr">
        <is>
          <t>H3</t>
        </is>
      </c>
      <c r="B4" s="2" t="inlineStr">
        <is>
          <t>Low case: lowest ratio and LHV, AF 0.4</t>
        </is>
      </c>
      <c r="C4" s="9" t="n">
        <v>9129900</v>
      </c>
      <c r="D4" s="2" t="n">
        <v>0.17</v>
      </c>
      <c r="E4" s="2" t="n">
        <v>0.4</v>
      </c>
      <c r="F4" s="2" t="n">
        <v>0</v>
      </c>
      <c r="G4" s="2" t="n">
        <v>13.24</v>
      </c>
      <c r="H4" s="12">
        <f>C4*D4/1e6</f>
        <v/>
      </c>
      <c r="I4" s="12">
        <f>MAX(0,MIN(E4*C4*D4,C4*D4)-F4)/1e6</f>
        <v/>
      </c>
      <c r="J4" s="9">
        <f>I4*1e6*G4/3600</f>
        <v/>
      </c>
      <c r="K4" s="2" t="inlineStr">
        <is>
          <t>rho low: Ukoba2023 (0.17); kappa: Ukoba2023; h low: OSTI_RiceHusk</t>
        </is>
      </c>
    </row>
    <row r="5">
      <c r="A5" s="2" t="inlineStr">
        <is>
          <t>H4</t>
        </is>
      </c>
      <c r="B5" s="2" t="inlineStr">
        <is>
          <t>High case: highest ratio and LHV, all husk available</t>
        </is>
      </c>
      <c r="C5" s="9" t="n">
        <v>9129900</v>
      </c>
      <c r="D5" s="2" t="n">
        <v>0.35</v>
      </c>
      <c r="E5" s="2" t="n">
        <v>1</v>
      </c>
      <c r="F5" s="2" t="n">
        <v>0</v>
      </c>
      <c r="G5" s="2" t="n">
        <v>16.2</v>
      </c>
      <c r="H5" s="12">
        <f>C5*D5/1e6</f>
        <v/>
      </c>
      <c r="I5" s="12">
        <f>MAX(0,MIN(E5*C5*D5,C5*D5)-F5)/1e6</f>
        <v/>
      </c>
      <c r="J5" s="9">
        <f>I5*1e6*G5/3600</f>
        <v/>
      </c>
      <c r="K5" s="2" t="inlineStr">
        <is>
          <t>rho high: Ukoba2023 (0.35); h high: OSTI_RiceHusk; kappa 1.0</t>
        </is>
      </c>
    </row>
    <row r="7">
      <c r="B7" t="inlineStr">
        <is>
          <t>Notes</t>
        </is>
      </c>
    </row>
    <row r="8">
      <c r="B8" t="inlineStr">
        <is>
          <t>P = 9,129,900 t is FAOSTAT 2024 (value supplied by Hilla 2026-10-28), used as the 2025 base-year value. Earlier values: 8,502,000 t (2022, FAOSTAT via Wikipedia); 8,435,000 t (2019, Ukoba2023); 8.1 Mt projected for 2024 (AFEX).</t>
        </is>
      </c>
    </row>
    <row r="9">
      <c r="B9" t="inlineStr">
        <is>
          <t>U = 0 in all options: no quantified competing-use data found. Okoro2024 says reuse and sales are 'relatively low' and most husk is burnt or dumped.</t>
        </is>
      </c>
    </row>
    <row r="10">
      <c r="B10" t="inlineStr">
        <is>
          <t>LHV is dry basis. Husk moisture 8.7-10.4% (OSTI) would lower as-received energy by roughly that share; not applied.</t>
        </is>
      </c>
    </row>
    <row r="11">
      <c r="B11" t="inlineStr">
        <is>
          <t>r (retention) = 0 because rice husk is a mill residue.</t>
        </is>
      </c>
    </row>
    <row r="12">
      <c r="B12" t="inlineStr">
        <is>
          <t>Cascade: T = P rho; R = kappa T; S = max{0, min[R, (1-r)T] - U}; E = S h / 3600.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2" customWidth="1" min="3" max="3"/>
    <col width="14" customWidth="1" min="4" max="4"/>
    <col width="18" customWidth="1" min="5" max="5"/>
    <col width="16" customWidth="1" min="6" max="6"/>
    <col width="16" customWidth="1" min="7" max="7"/>
    <col width="36" customWidth="1" min="8" max="8"/>
    <col width="70" customWidth="1" min="9" max="9"/>
  </cols>
  <sheetData>
    <row r="1">
      <c r="A1" s="11" t="inlineStr">
        <is>
          <t>Item</t>
        </is>
      </c>
      <c r="B1" s="11" t="inlineStr">
        <is>
          <t>Option</t>
        </is>
      </c>
      <c r="C1" s="11" t="inlineStr">
        <is>
          <t>Value</t>
        </is>
      </c>
      <c r="D1" s="11" t="inlineStr">
        <is>
          <t>Unit</t>
        </is>
      </c>
      <c r="E1" s="11" t="inlineStr">
        <is>
          <t>Conversion factor = 1/eff (GWh fuel per GWh useful)</t>
        </is>
      </c>
      <c r="F1" s="11" t="inlineStr">
        <is>
          <t>Husk cap 4,010 GWh -&gt; useful (GWh)</t>
        </is>
      </c>
      <c r="G1" s="11" t="inlineStr">
        <is>
          <t>Share of central cooking demand (52,784 GWh)</t>
        </is>
      </c>
      <c r="H1" s="11" t="inlineStr">
        <is>
          <t>Source</t>
        </is>
      </c>
      <c r="I1" s="11" t="inlineStr">
        <is>
          <t>Caveats</t>
        </is>
      </c>
    </row>
    <row r="2">
      <c r="A2" s="2" t="inlineStr">
        <is>
          <t>Efficiency</t>
        </is>
      </c>
      <c r="B2" s="2" t="inlineStr">
        <is>
          <t>Traditional biomass stove assumption</t>
        </is>
      </c>
      <c r="C2" s="13" t="n">
        <v>0.14</v>
      </c>
      <c r="D2" s="2" t="inlineStr">
        <is>
          <t>share</t>
        </is>
      </c>
      <c r="E2" s="14">
        <f>1/C2</f>
        <v/>
      </c>
      <c r="F2" s="9">
        <f>4010.4*C2</f>
        <v/>
      </c>
      <c r="G2" s="13">
        <f>F2/52784.256</f>
        <v/>
      </c>
      <c r="H2" s="2" t="inlineStr">
        <is>
          <t>Ibitoye2013</t>
        </is>
      </c>
      <c r="I2" s="2" t="inlineStr">
        <is>
          <t>LEAP assumption for wood/biomass stoves, not an improved stove</t>
        </is>
      </c>
    </row>
    <row r="3">
      <c r="A3" s="2" t="inlineStr">
        <is>
          <t>Efficiency</t>
        </is>
      </c>
      <c r="B3" s="2" t="inlineStr">
        <is>
          <t>Rice husk top-lit updraft, measured</t>
        </is>
      </c>
      <c r="C3" s="13" t="n">
        <v>0.1647</v>
      </c>
      <c r="D3" s="2" t="inlineStr">
        <is>
          <t>share</t>
        </is>
      </c>
      <c r="E3" s="14">
        <f>1/C3</f>
        <v/>
      </c>
      <c r="F3" s="9">
        <f>4010.4*C3</f>
        <v/>
      </c>
      <c r="G3" s="13">
        <f>F3/52784.256</f>
        <v/>
      </c>
      <c r="H3" s="2" t="inlineStr">
        <is>
          <t>F1000_GasifierReview (Ahmad 2016)</t>
        </is>
      </c>
      <c r="I3" s="2" t="inlineStr">
        <is>
          <t>Low end of rice husk range in Table 5 (15.51-16.47%)</t>
        </is>
      </c>
    </row>
    <row r="4">
      <c r="A4" s="2" t="inlineStr">
        <is>
          <t>Efficiency</t>
        </is>
      </c>
      <c r="B4" s="2" t="inlineStr">
        <is>
          <t>Rice husk natural cross-draft gasifier, briquettes, measured (Nigeria)</t>
        </is>
      </c>
      <c r="C4" s="13" t="n">
        <v>0.211</v>
      </c>
      <c r="D4" s="2" t="inlineStr">
        <is>
          <t>share</t>
        </is>
      </c>
      <c r="E4" s="14">
        <f>1/C4</f>
        <v/>
      </c>
      <c r="F4" s="9">
        <f>4010.4*C4</f>
        <v/>
      </c>
      <c r="G4" s="13">
        <f>F4/52784.256</f>
        <v/>
      </c>
      <c r="H4" s="2" t="inlineStr">
        <is>
          <t>F1000_GasifierReview (Nwakaire and Ugwuishiwu 2015)</t>
        </is>
      </c>
      <c r="I4" s="2" t="inlineStr">
        <is>
          <t>Only Nigerian-built husk stove found; briquettes not loose husk; lab test, field value likely lower</t>
        </is>
      </c>
    </row>
    <row r="5">
      <c r="A5" s="2" t="inlineStr">
        <is>
          <t>Efficiency</t>
        </is>
      </c>
      <c r="B5" s="2" t="inlineStr">
        <is>
          <t>Rice husk stoves, SSA: PO150 type, measured</t>
        </is>
      </c>
      <c r="C5" s="13" t="n">
        <v>0.3</v>
      </c>
      <c r="D5" s="2" t="inlineStr">
        <is>
          <t>share</t>
        </is>
      </c>
      <c r="E5" s="14">
        <f>1/C5</f>
        <v/>
      </c>
      <c r="F5" s="9">
        <f>4010.4*C5</f>
        <v/>
      </c>
      <c r="G5" s="13">
        <f>F5/52784.256</f>
        <v/>
      </c>
      <c r="H5" s="2" t="inlineStr">
        <is>
          <t>F1000_GasifierReview (Ndindeng 2019)</t>
        </is>
      </c>
      <c r="I5" s="2" t="inlineStr">
        <is>
          <t>Same study gives 11% for MYN gasifier and 20% for other stoves</t>
        </is>
      </c>
    </row>
    <row r="6">
      <c r="A6" s="2" t="inlineStr">
        <is>
          <t>Efficiency</t>
        </is>
      </c>
      <c r="B6" s="2" t="inlineStr">
        <is>
          <t>IWA interim Tier 3 threshold (high-power thermal efficiency)</t>
        </is>
      </c>
      <c r="C6" s="13" t="n">
        <v>0.35</v>
      </c>
      <c r="D6" s="2" t="inlineStr">
        <is>
          <t>share</t>
        </is>
      </c>
      <c r="E6" s="14">
        <f>1/C6</f>
        <v/>
      </c>
      <c r="F6" s="9">
        <f>4010.4*C6</f>
        <v/>
      </c>
      <c r="G6" s="13">
        <f>F6/52784.256</f>
        <v/>
      </c>
      <c r="H6" s="2" t="inlineStr">
        <is>
          <t>CCA_IWA_Tiers</t>
        </is>
      </c>
      <c r="I6" s="2" t="inlineStr">
        <is>
          <t>A threshold, not a measurement of any husk stove</t>
        </is>
      </c>
    </row>
    <row r="7">
      <c r="A7" s="2" t="inlineStr">
        <is>
          <t>Efficiency</t>
        </is>
      </c>
      <c r="B7" s="2" t="inlineStr">
        <is>
          <t>Rice husk inverted downdraft, Ghana, measured</t>
        </is>
      </c>
      <c r="C7" s="13" t="n">
        <v>0.381</v>
      </c>
      <c r="D7" s="2" t="inlineStr">
        <is>
          <t>share</t>
        </is>
      </c>
      <c r="E7" s="14">
        <f>1/C7</f>
        <v/>
      </c>
      <c r="F7" s="9">
        <f>4010.4*C7</f>
        <v/>
      </c>
      <c r="G7" s="13">
        <f>F7/52784.256</f>
        <v/>
      </c>
      <c r="H7" s="2" t="inlineStr">
        <is>
          <t>F1000_GasifierReview (Osei 2020)</t>
        </is>
      </c>
      <c r="I7" s="2" t="inlineStr">
        <is>
          <t>Upper end of 30.5-38.1%; lab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Cost</t>
        </is>
      </c>
      <c r="B9" s="2" t="inlineStr">
        <is>
          <t>Improved stove retail price in Nigeria (2017)</t>
        </is>
      </c>
      <c r="C9" s="2" t="inlineStr">
        <is>
          <t>NGN 3,000 to 15,000</t>
        </is>
      </c>
      <c r="D9" s="2" t="inlineStr">
        <is>
          <t>NGN/stove</t>
        </is>
      </c>
      <c r="E9" s="2" t="inlineStr"/>
      <c r="F9" s="2" t="inlineStr"/>
      <c r="G9" s="2" t="inlineStr"/>
      <c r="H9" s="2" t="inlineStr">
        <is>
          <t>CLASP2017 p. 6</t>
        </is>
      </c>
      <c r="I9" s="2" t="inlineStr">
        <is>
          <t>Brand examples p. 9 (Toyola NGN 3,000-10,000, Envirofit NGN 6,500-15,000). 2017 prices: convert with FX and US CPI to 2025 USD once you choose the rates. Not husk-specific. Needs rated power (kW) to become USD/kW</t>
        </is>
      </c>
    </row>
    <row r="10">
      <c r="A10" s="2" t="inlineStr">
        <is>
          <t>Lifetime</t>
        </is>
      </c>
      <c r="B10" s="2" t="inlineStr">
        <is>
          <t>Stove lifetime</t>
        </is>
      </c>
      <c r="C10" s="2" t="inlineStr">
        <is>
          <t>not found</t>
        </is>
      </c>
      <c r="D10" s="2" t="inlineStr">
        <is>
          <t>years</t>
        </is>
      </c>
      <c r="E10" s="2" t="inlineStr"/>
      <c r="F10" s="2" t="inlineStr"/>
      <c r="G10" s="2" t="inlineStr"/>
      <c r="H10" s="2" t="inlineStr"/>
      <c r="I10" s="2" t="inlineStr">
        <is>
          <t>Placeholder 15 years in the model is almost certainly too long for a household stove; search for field lifetime data</t>
        </is>
      </c>
    </row>
    <row r="11">
      <c r="A11" s="2" t="inlineStr">
        <is>
          <t>Existing stock</t>
        </is>
      </c>
      <c r="B11" s="2" t="inlineStr">
        <is>
          <t>Households with a manufactured biomass stove as primary stove (GHS-Panel W5 Table 3.6, PDF p.111)</t>
        </is>
      </c>
      <c r="C11" s="2" t="n">
        <v>0.001</v>
      </c>
      <c r="D11" s="2" t="inlineStr">
        <is>
          <t>share of households</t>
        </is>
      </c>
      <c r="E11" s="2" t="inlineStr"/>
      <c r="F11" s="2" t="inlineStr"/>
      <c r="G11" s="2" t="inlineStr"/>
      <c r="H11" s="2" t="inlineStr">
        <is>
          <t>NBS_GHSPanelW5</t>
        </is>
      </c>
      <c r="I11" s="2" t="inlineStr">
        <is>
          <t>0.1%, about 53,000 households at 52.8 million; self-built biomass stoves 2.8%. These may burn wood rather than husk. Use ~0 for capacity_existing, or decide how to split</t>
        </is>
      </c>
    </row>
    <row r="12">
      <c r="A12" s="2" t="inlineStr">
        <is>
          <t>Existing stock</t>
        </is>
      </c>
      <c r="B12" s="2" t="inlineStr">
        <is>
          <t>Improved stoves sold or distributed in 2015</t>
        </is>
      </c>
      <c r="C12" s="2" t="inlineStr">
        <is>
          <t>~730,000</t>
        </is>
      </c>
      <c r="D12" s="2" t="inlineStr">
        <is>
          <t>stoves</t>
        </is>
      </c>
      <c r="E12" s="2" t="inlineStr"/>
      <c r="F12" s="2" t="inlineStr"/>
      <c r="G12" s="2" t="inlineStr"/>
      <c r="H12" s="2" t="inlineStr">
        <is>
          <t>CLASP2017 p. 5-6</t>
        </is>
      </c>
      <c r="I12" s="2" t="inlineStr">
        <is>
          <t>Cumulative stock and survival unknown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Modelling note</t>
        </is>
      </c>
      <c r="B14" s="2" t="inlineStr">
        <is>
          <t>Stove capacity and max_load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Capacity in ZEN-garden is in GW of useful output per hour. Household stoves run a few hours a day, so rated power x hours used differs from the constant-power demand profile. Decide: (a) capex per kW of average demand with max_load 1, or (b) rated power with max_load = utilisation. This changes capex per GW by an order of magnitude.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26" customWidth="1" min="3" max="3"/>
    <col width="12" customWidth="1" min="4" max="4"/>
    <col width="14" customWidth="1" min="5" max="5"/>
    <col width="26" customWidth="1" min="6" max="6"/>
    <col width="70" customWidth="1" min="7" max="7"/>
  </cols>
  <sheetData>
    <row r="1">
      <c r="A1" s="2" t="inlineStr">
        <is>
          <t>Item</t>
        </is>
      </c>
      <c r="B1" s="2" t="inlineStr">
        <is>
          <t>Option</t>
        </is>
      </c>
      <c r="C1" s="2" t="inlineStr">
        <is>
          <t>Value</t>
        </is>
      </c>
      <c r="D1" s="2" t="inlineStr">
        <is>
          <t>Unit</t>
        </is>
      </c>
      <c r="E1" s="2" t="inlineStr">
        <is>
          <t>Year of price</t>
        </is>
      </c>
      <c r="F1" s="2" t="inlineStr">
        <is>
          <t>Source</t>
        </is>
      </c>
      <c r="G1" s="2" t="inlineStr">
        <is>
          <t>Caveats</t>
        </is>
      </c>
    </row>
    <row r="2">
      <c r="A2" s="2" t="inlineStr">
        <is>
          <t>Cost</t>
        </is>
      </c>
      <c r="B2" s="2" t="inlineStr">
        <is>
          <t>Basic improved stove</t>
        </is>
      </c>
      <c r="C2" s="2" t="inlineStr">
        <is>
          <t>3 to 10</t>
        </is>
      </c>
      <c r="D2" s="2" t="inlineStr">
        <is>
          <t>USD/stove</t>
        </is>
      </c>
      <c r="E2" s="2" t="n">
        <v>2015</v>
      </c>
      <c r="F2" s="2" t="inlineStr">
        <is>
          <t>ESMAP2015_StateOfSector</t>
        </is>
      </c>
      <c r="G2" s="2" t="inlineStr">
        <is>
          <t>Global range; not husk</t>
        </is>
      </c>
    </row>
    <row r="3">
      <c r="A3" s="2" t="inlineStr">
        <is>
          <t>Cost</t>
        </is>
      </c>
      <c r="B3" s="2" t="inlineStr">
        <is>
          <t>Intermediate improved stove</t>
        </is>
      </c>
      <c r="C3" s="2" t="inlineStr">
        <is>
          <t>15 to 30</t>
        </is>
      </c>
      <c r="D3" s="2" t="inlineStr">
        <is>
          <t>USD/stove</t>
        </is>
      </c>
      <c r="E3" s="2" t="n">
        <v>2015</v>
      </c>
      <c r="F3" s="2" t="inlineStr">
        <is>
          <t>ESMAP2015_StateOfSector</t>
        </is>
      </c>
      <c r="G3" s="2" t="inlineStr">
        <is>
          <t>Global range</t>
        </is>
      </c>
    </row>
    <row r="4">
      <c r="A4" s="2" t="inlineStr">
        <is>
          <t>Cost</t>
        </is>
      </c>
      <c r="B4" s="2" t="inlineStr">
        <is>
          <t>Biomass fan gasifier stove</t>
        </is>
      </c>
      <c r="C4" s="2" t="inlineStr">
        <is>
          <t>50 to 120</t>
        </is>
      </c>
      <c r="D4" s="2" t="inlineStr">
        <is>
          <t>USD/stove</t>
        </is>
      </c>
      <c r="E4" s="2" t="n">
        <v>2015</v>
      </c>
      <c r="F4" s="2" t="inlineStr">
        <is>
          <t>ESMAP2015_StateOfSector</t>
        </is>
      </c>
      <c r="G4" s="2" t="inlineStr">
        <is>
          <t>Closest class to a husk gasifier; global range</t>
        </is>
      </c>
    </row>
    <row r="5">
      <c r="A5" s="2" t="inlineStr">
        <is>
          <t>Cost</t>
        </is>
      </c>
      <c r="B5" s="2" t="inlineStr">
        <is>
          <t>Jikokoa charcoal stove, market price, Kenya</t>
        </is>
      </c>
      <c r="C5" s="2" t="inlineStr">
        <is>
          <t>40</t>
        </is>
      </c>
      <c r="D5" s="2" t="inlineStr">
        <is>
          <t>USD/stove</t>
        </is>
      </c>
      <c r="E5" s="2" t="inlineStr">
        <is>
          <t>year to confirm</t>
        </is>
      </c>
      <c r="F5" s="2" t="inlineStr">
        <is>
          <t>BerkouwerDean2026</t>
        </is>
      </c>
      <c r="G5" s="2" t="inlineStr">
        <is>
          <t>Charcoal stove, Kenya</t>
        </is>
      </c>
    </row>
    <row r="6">
      <c r="A6" s="2" t="inlineStr">
        <is>
          <t>Cost</t>
        </is>
      </c>
      <c r="B6" s="2" t="inlineStr">
        <is>
          <t>Improved stoves in Nigeria</t>
        </is>
      </c>
      <c r="C6" s="2" t="inlineStr">
        <is>
          <t>NGN 3,000 to 15,000</t>
        </is>
      </c>
      <c r="D6" s="2" t="inlineStr">
        <is>
          <t>NGN/stove</t>
        </is>
      </c>
      <c r="E6" s="2" t="n">
        <v>2017</v>
      </c>
      <c r="F6" s="2" t="inlineStr">
        <is>
          <t>CLASP2017</t>
        </is>
      </c>
      <c r="G6" s="2" t="inlineStr">
        <is>
          <t>Needs an exchange rate. Illustration: at NGN 305 per USD about 9.8 to 49; at NGN 360 about 8.3 to 41.7. Two rates existed in 2017 (official and parallel).</t>
        </is>
      </c>
    </row>
    <row r="7">
      <c r="A7" s="2" t="inlineStr">
        <is>
          <t>Lifetime</t>
        </is>
      </c>
      <c r="B7" s="2" t="inlineStr">
        <is>
          <t>Modelled average stove life (Kenya)</t>
        </is>
      </c>
      <c r="C7" s="2" t="inlineStr">
        <is>
          <t>3.1 to 6</t>
        </is>
      </c>
      <c r="D7" s="2" t="inlineStr">
        <is>
          <t>years</t>
        </is>
      </c>
      <c r="E7" s="2" t="inlineStr"/>
      <c r="F7" s="2" t="inlineStr">
        <is>
          <t>BerkouwerDean2026</t>
        </is>
      </c>
      <c r="G7" s="2" t="inlineStr">
        <is>
          <t>From 83% survival at 3.5 years; charcoal stove</t>
        </is>
      </c>
    </row>
    <row r="8">
      <c r="A8" s="2" t="inlineStr">
        <is>
          <t>Lifetime</t>
        </is>
      </c>
      <c r="B8" s="2" t="inlineStr">
        <is>
          <t>Illustrative technical life in a carbon methodology</t>
        </is>
      </c>
      <c r="C8" s="2" t="inlineStr">
        <is>
          <t>5</t>
        </is>
      </c>
      <c r="D8" s="2" t="inlineStr">
        <is>
          <t>years</t>
        </is>
      </c>
      <c r="E8" s="2" t="inlineStr"/>
      <c r="F8" s="2" t="inlineStr">
        <is>
          <t>GS408_Cookstove</t>
        </is>
      </c>
      <c r="G8" s="2" t="inlineStr">
        <is>
          <t>An example, not a default; efficiency falls 30% to 20% over that life</t>
        </is>
      </c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inlineStr">
        <is>
          <t>Exchange-rate / price-conversion options (select one)</t>
        </is>
      </c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A</t>
        </is>
      </c>
      <c r="B11" s="2" t="inlineStr">
        <is>
          <t>Avoid FX: USD-native prices (ESMAP, Berkouwer and Dean), adjusted to 2025 USD with US CPI only</t>
        </is>
      </c>
      <c r="C11" s="2" t="inlineStr">
        <is>
          <t>FRED/BLS CUUS0000SA0, https://fred.stlouisfed.org/data/CUUS0000SA0. Weakness: not Nigerian prices.</t>
        </is>
      </c>
      <c r="D11" s="2" t="n"/>
      <c r="E11" s="2" t="n"/>
      <c r="F11" s="2" t="n"/>
      <c r="G11" s="2" t="n"/>
    </row>
    <row r="12">
      <c r="A12" s="2" t="inlineStr">
        <is>
          <t>B</t>
        </is>
      </c>
      <c r="B12" s="2" t="inlineStr">
        <is>
          <t>World Bank WDI official exchange rate, LCU per US$ period average (PA.NUS.FCRF), from IMF IFS</t>
        </is>
      </c>
      <c r="C12" s="2" t="inlineStr">
        <is>
          <t>https://data.worldbank.org/indicator/PA.NUS.FCRF?locations=NG. Could not open from my environment. In 2017 an official/parallel gap existed, so the official series may understate retail USD prices.</t>
        </is>
      </c>
      <c r="D12" s="2" t="n"/>
      <c r="E12" s="2" t="n"/>
      <c r="F12" s="2" t="n"/>
      <c r="G12" s="2" t="n"/>
    </row>
    <row r="13">
      <c r="A13" s="2" t="inlineStr">
        <is>
          <t>C</t>
        </is>
      </c>
      <c r="B13" s="2" t="inlineStr">
        <is>
          <t>Central Bank of Nigeria official rates (cbn.gov.ng)</t>
        </is>
      </c>
      <c r="C13" s="2" t="inlineStr">
        <is>
          <t>Primary source for naira; needs the annual average for the window you consider relevant. Not opened.</t>
        </is>
      </c>
      <c r="D13" s="2" t="n"/>
      <c r="E13" s="2" t="n"/>
      <c r="F13" s="2" t="n"/>
      <c r="G13" s="2" t="n"/>
    </row>
    <row r="14">
      <c r="A14" s="2" t="inlineStr">
        <is>
          <t>D</t>
        </is>
      </c>
      <c r="B14" s="2" t="inlineStr">
        <is>
          <t>IMF International Financial Statistics (data.imf.org)</t>
        </is>
      </c>
      <c r="C14" s="2" t="inlineStr">
        <is>
          <t>Same underlying series as B, direct from the IMF.</t>
        </is>
      </c>
      <c r="D14" s="2" t="n"/>
      <c r="E14" s="2" t="n"/>
      <c r="F14" s="2" t="n"/>
      <c r="G14" s="2" t="n"/>
    </row>
    <row r="15">
      <c r="A15" s="2" t="inlineStr">
        <is>
          <t>E</t>
        </is>
      </c>
      <c r="B15" s="2" t="inlineStr">
        <is>
          <t>Commercial aggregators (CEIC, Statista, rate-history sites)</t>
        </is>
      </c>
      <c r="C15" s="2" t="inlineStr">
        <is>
          <t>Paywalled or not citable as primary; cross-check only.</t>
        </is>
      </c>
      <c r="D15" s="2" t="n"/>
      <c r="E15" s="2" t="n"/>
      <c r="F15" s="2" t="n"/>
      <c r="G15" s="2" t="n"/>
    </row>
    <row r="17">
      <c r="A17" s="2" t="inlineStr">
        <is>
          <t>CBN 2017 annual average rates (Table 3.2, CBN2017_AAR) applied to CLASP NGN 3,000 to 15,000, then US CPI x1.314 to 2025 USD</t>
        </is>
      </c>
      <c r="B17" s="2" t="n"/>
      <c r="C17" s="2" t="n"/>
      <c r="D17" s="2" t="n"/>
      <c r="E17" s="2" t="n"/>
      <c r="F17" s="2" t="n"/>
      <c r="G17" s="2" t="n"/>
    </row>
    <row r="18">
      <c r="A18" s="2" t="inlineStr">
        <is>
          <t>Rate</t>
        </is>
      </c>
      <c r="B18" s="2" t="inlineStr">
        <is>
          <t>NGN per USD</t>
        </is>
      </c>
      <c r="C18" s="2" t="inlineStr">
        <is>
          <t>USD 2017 (3,000 to 15,000)</t>
        </is>
      </c>
      <c r="D18" s="2" t="inlineStr">
        <is>
          <t>USD 2025 (CPI-adjusted)</t>
        </is>
      </c>
      <c r="E18" s="2" t="n"/>
      <c r="F18" s="2" t="n"/>
      <c r="G18" s="2" t="n"/>
    </row>
    <row r="19">
      <c r="A19" s="2" t="inlineStr">
        <is>
          <t>CBN inter-bank (official)</t>
        </is>
      </c>
      <c r="B19" s="2" t="n">
        <v>305.79</v>
      </c>
      <c r="C19" s="2" t="inlineStr">
        <is>
          <t>9.8 to 49.1</t>
        </is>
      </c>
      <c r="D19" s="2" t="inlineStr">
        <is>
          <t>12.9 to 64.5</t>
        </is>
      </c>
      <c r="E19" s="2" t="n"/>
      <c r="F19" s="2" t="n"/>
      <c r="G19" s="2" t="n"/>
    </row>
    <row r="20">
      <c r="A20" s="2" t="inlineStr">
        <is>
          <t>CBN I&amp;E window (market-determined, NAFEX)</t>
        </is>
      </c>
      <c r="B20" s="2" t="n">
        <v>367.84</v>
      </c>
      <c r="C20" s="2" t="inlineStr">
        <is>
          <t>8.2 to 40.8</t>
        </is>
      </c>
      <c r="D20" s="2" t="inlineStr">
        <is>
          <t>10.7 to 53.6</t>
        </is>
      </c>
      <c r="E20" s="2" t="n"/>
      <c r="F20" s="2" t="n"/>
      <c r="G20" s="2" t="n"/>
    </row>
    <row r="21">
      <c r="A21" s="2" t="inlineStr">
        <is>
          <t>CBN BDC (retail cash, reference)</t>
        </is>
      </c>
      <c r="B21" s="2" t="n">
        <v>395.42</v>
      </c>
      <c r="C21" s="2" t="inlineStr">
        <is>
          <t>7.6 to 37.9</t>
        </is>
      </c>
      <c r="D21" s="2" t="inlineStr">
        <is>
          <t>10.0 to 49.8</t>
        </is>
      </c>
      <c r="E21" s="2" t="n"/>
      <c r="F21" s="2" t="n"/>
      <c r="G21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34" customWidth="1" min="3" max="3"/>
    <col width="12" customWidth="1" min="4" max="4"/>
    <col width="36" customWidth="1" min="5" max="5"/>
    <col width="50" customWidth="1" min="6" max="6"/>
  </cols>
  <sheetData>
    <row r="1">
      <c r="A1" s="2" t="inlineStr">
        <is>
          <t>Item</t>
        </is>
      </c>
      <c r="B1" s="2" t="inlineStr">
        <is>
          <t>Option</t>
        </is>
      </c>
      <c r="C1" s="2" t="inlineStr">
        <is>
          <t>Value</t>
        </is>
      </c>
      <c r="D1" s="2" t="inlineStr">
        <is>
          <t>Unit</t>
        </is>
      </c>
      <c r="E1" s="2" t="inlineStr">
        <is>
          <t>Source</t>
        </is>
      </c>
      <c r="F1" s="2" t="inlineStr">
        <is>
          <t>Caveats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Price</t>
        </is>
      </c>
      <c r="B3" s="2" t="inlineStr">
        <is>
          <t>12.5 kg refill, Dec 2024</t>
        </is>
      </c>
      <c r="C3" s="2" t="inlineStr">
        <is>
          <t>NGN 17,274.16 = 1,382 NGN/kg</t>
        </is>
      </c>
      <c r="D3" s="2" t="inlineStr">
        <is>
          <t>NGN</t>
        </is>
      </c>
      <c r="E3" s="2" t="inlineStr">
        <is>
          <t>NBS_LPGWatch</t>
        </is>
      </c>
      <c r="F3" s="2" t="inlineStr">
        <is>
          <t>Retail</t>
        </is>
      </c>
    </row>
    <row r="4">
      <c r="A4" s="2" t="inlineStr">
        <is>
          <t>Price</t>
        </is>
      </c>
      <c r="B4" s="2" t="inlineStr">
        <is>
          <t>12.5 kg refill, Jun 2025 (peak found)</t>
        </is>
      </c>
      <c r="C4" s="2" t="inlineStr">
        <is>
          <t>NGN 21,010.56 = 1,681 NGN/kg</t>
        </is>
      </c>
      <c r="D4" s="2" t="inlineStr">
        <is>
          <t>NGN</t>
        </is>
      </c>
      <c r="E4" s="2" t="inlineStr">
        <is>
          <t>NBS_LPGWatch</t>
        </is>
      </c>
      <c r="F4" s="2" t="inlineStr">
        <is>
          <t>Retail</t>
        </is>
      </c>
    </row>
    <row r="5">
      <c r="A5" s="2" t="inlineStr">
        <is>
          <t>Price</t>
        </is>
      </c>
      <c r="B5" s="2" t="inlineStr">
        <is>
          <t>12.5 kg refill, Dec 2025 (latest)</t>
        </is>
      </c>
      <c r="C5" s="2" t="inlineStr">
        <is>
          <t>NGN 13,438.90 = 1,075 NGN/kg</t>
        </is>
      </c>
      <c r="D5" s="2" t="inlineStr">
        <is>
          <t>NGN</t>
        </is>
      </c>
      <c r="E5" s="2" t="inlineStr">
        <is>
          <t>NBS_LPGWatch</t>
        </is>
      </c>
      <c r="F5" s="2" t="inlineStr">
        <is>
          <t>Retail; fell 22% year on year</t>
        </is>
      </c>
    </row>
    <row r="6">
      <c r="A6" s="2" t="inlineStr">
        <is>
          <t>Price in model units</t>
        </is>
      </c>
      <c r="B6" s="2" t="inlineStr">
        <is>
          <t>Jun 2025 / Dec 2025 at NGN 1,535 per USD</t>
        </is>
      </c>
      <c r="C6" s="2" t="inlineStr">
        <is>
          <t>83.3 / 53.3</t>
        </is>
      </c>
      <c r="D6" s="2" t="inlineStr">
        <is>
          <t>kUSD/GWh</t>
        </is>
      </c>
      <c r="E6" s="2" t="inlineStr">
        <is>
          <t>NBS_LPGWatch; NCV 47.3 MJ/kg</t>
        </is>
      </c>
      <c r="F6" s="2" t="inlineStr">
        <is>
          <t>1,535 is the end-2024 CBN rate, illustrative only</t>
        </is>
      </c>
    </row>
    <row r="7">
      <c r="A7" s="2" t="inlineStr">
        <is>
          <t>Price in model units</t>
        </is>
      </c>
      <c r="B7" s="2" t="inlineStr">
        <is>
          <t>Jun 2025 / Dec 2025 at NGN 1,429 per USD</t>
        </is>
      </c>
      <c r="C7" s="2" t="inlineStr">
        <is>
          <t>89.5 / 57.3</t>
        </is>
      </c>
      <c r="D7" s="2" t="inlineStr">
        <is>
          <t>kUSD/GWh</t>
        </is>
      </c>
      <c r="E7" s="2" t="inlineStr">
        <is>
          <t>NBS_LPGWatch; NCV 47.3 MJ/kg</t>
        </is>
      </c>
      <c r="F7" s="2" t="inlineStr">
        <is>
          <t>1,429 is the end-2025 CBN rate, illustrative only</t>
        </is>
      </c>
    </row>
    <row r="8">
      <c r="A8" s="2" t="inlineStr">
        <is>
          <t>Calorific value</t>
        </is>
      </c>
      <c r="B8" s="2" t="inlineStr">
        <is>
          <t>IPCC 2006 NCV</t>
        </is>
      </c>
      <c r="C8" s="2" t="inlineStr">
        <is>
          <t>47.3 MJ/kg</t>
        </is>
      </c>
      <c r="D8" s="2" t="inlineStr"/>
      <c r="E8" s="2" t="inlineStr">
        <is>
          <t>IPCC2006_Vol2_T1.2</t>
        </is>
      </c>
      <c r="F8" s="2" t="inlineStr">
        <is>
          <t>13.14 kWh/kg; 76,110 kg per GWh</t>
        </is>
      </c>
    </row>
    <row r="9">
      <c r="A9" s="2" t="inlineStr">
        <is>
          <t>Calorific value</t>
        </is>
      </c>
      <c r="B9" s="2" t="inlineStr">
        <is>
          <t>OnStove default</t>
        </is>
      </c>
      <c r="C9" s="2" t="inlineStr">
        <is>
          <t>45.5 MJ/kg</t>
        </is>
      </c>
      <c r="D9" s="2" t="inlineStr"/>
      <c r="E9" s="2" t="inlineStr">
        <is>
          <t>OnStove_LPG</t>
        </is>
      </c>
      <c r="F9" s="2" t="inlineStr">
        <is>
          <t>Would raise kg per GWh to 79,121</t>
        </is>
      </c>
    </row>
    <row r="10">
      <c r="A10" s="2" t="inlineStr">
        <is>
          <t>CO2 factor</t>
        </is>
      </c>
      <c r="B10" s="2" t="inlineStr">
        <is>
          <t>IPCC 2006 default</t>
        </is>
      </c>
      <c r="C10" s="2" t="inlineStr">
        <is>
          <t>63,100 kg/TJ</t>
        </is>
      </c>
      <c r="D10" s="2" t="inlineStr"/>
      <c r="E10" s="2" t="inlineStr">
        <is>
          <t>IPCC2006_Vol2_T1.2</t>
        </is>
      </c>
      <c r="F10" s="2">
        <f> 0.2272 kilotons/GWh of LPG burned (63.1 x 3.6 / 1000)</f>
        <v/>
      </c>
    </row>
    <row r="11">
      <c r="A11" s="2" t="inlineStr">
        <is>
          <t>Stove efficiency</t>
        </is>
      </c>
      <c r="B11" s="2" t="inlineStr">
        <is>
          <t>Placeholder</t>
        </is>
      </c>
      <c r="C11" s="2" t="inlineStr">
        <is>
          <t>50%</t>
        </is>
      </c>
      <c r="D11" s="2" t="inlineStr"/>
      <c r="E11" s="2" t="inlineStr">
        <is>
          <t>OnStove_LPG</t>
        </is>
      </c>
      <c r="F11" s="2" t="inlineStr">
        <is>
          <t>conversion_factor 2.00</t>
        </is>
      </c>
    </row>
    <row r="12">
      <c r="A12" s="2" t="inlineStr">
        <is>
          <t>Stove efficiency</t>
        </is>
      </c>
      <c r="B12" s="2" t="inlineStr">
        <is>
          <t>GIZ HERA via Energypedia</t>
        </is>
      </c>
      <c r="C12" s="2" t="inlineStr">
        <is>
          <t>55 to 60%</t>
        </is>
      </c>
      <c r="D12" s="2" t="inlineStr"/>
      <c r="E12" s="2" t="inlineStr">
        <is>
          <t>Energypedia_LPG</t>
        </is>
      </c>
      <c r="F12" s="2" t="inlineStr">
        <is>
          <t>conversion_factor 1.82 to 1.67</t>
        </is>
      </c>
    </row>
    <row r="13">
      <c r="A13" s="2" t="inlineStr">
        <is>
          <t>Stove efficiency</t>
        </is>
      </c>
      <c r="B13" s="2" t="inlineStr">
        <is>
          <t>Best new designs</t>
        </is>
      </c>
      <c r="C13" s="2" t="inlineStr">
        <is>
          <t>up to 90%</t>
        </is>
      </c>
      <c r="D13" s="2" t="inlineStr"/>
      <c r="E13" s="2" t="inlineStr">
        <is>
          <t>Energypedia_LPG</t>
        </is>
      </c>
      <c r="F13" s="2" t="inlineStr">
        <is>
          <t>Expensive; not typical</t>
        </is>
      </c>
    </row>
    <row r="14">
      <c r="A14" s="2" t="inlineStr">
        <is>
          <t>Stove cost</t>
        </is>
      </c>
      <c r="B14" s="2" t="inlineStr">
        <is>
          <t>ESMAP 2015 via Energypedia</t>
        </is>
      </c>
      <c r="C14" s="2" t="inlineStr">
        <is>
          <t>USD 30 to 100</t>
        </is>
      </c>
      <c r="D14" s="2" t="inlineStr">
        <is>
          <t>USD/stove</t>
        </is>
      </c>
      <c r="E14" s="2" t="inlineStr">
        <is>
          <t>Energypedia_LPG; ESMAP2015_StateOfSector</t>
        </is>
      </c>
      <c r="F14" s="2" t="inlineStr">
        <is>
          <t>ESMAP report itself gave $30 to 70</t>
        </is>
      </c>
    </row>
    <row r="15">
      <c r="A15" s="2" t="inlineStr">
        <is>
          <t>Stove cost</t>
        </is>
      </c>
      <c r="B15" s="2" t="inlineStr">
        <is>
          <t>OnStove default</t>
        </is>
      </c>
      <c r="C15" s="2" t="inlineStr">
        <is>
          <t>USD 44</t>
        </is>
      </c>
      <c r="D15" s="2" t="inlineStr">
        <is>
          <t>USD/stove</t>
        </is>
      </c>
      <c r="E15" s="2" t="inlineStr">
        <is>
          <t>OnStove_LPG</t>
        </is>
      </c>
      <c r="F15" s="2" t="inlineStr"/>
    </row>
    <row r="16">
      <c r="A16" s="2" t="inlineStr">
        <is>
          <t>Stove life</t>
        </is>
      </c>
      <c r="B16" s="2" t="inlineStr">
        <is>
          <t>OnStove default</t>
        </is>
      </c>
      <c r="C16" s="2" t="inlineStr">
        <is>
          <t>7 years</t>
        </is>
      </c>
      <c r="D16" s="2" t="inlineStr">
        <is>
          <t>years</t>
        </is>
      </c>
      <c r="E16" s="2" t="inlineStr">
        <is>
          <t>OnStove_LPG</t>
        </is>
      </c>
      <c r="F16" s="2" t="inlineStr">
        <is>
          <t>Cylinder life 15 years is separate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8" customWidth="1" min="3" max="3"/>
    <col width="22" customWidth="1" min="4" max="4"/>
    <col width="36" customWidth="1" min="5" max="5"/>
    <col width="60" customWidth="1" min="6" max="6"/>
  </cols>
  <sheetData>
    <row r="1">
      <c r="A1" s="2" t="inlineStr">
        <is>
          <t>Option</t>
        </is>
      </c>
      <c r="B1" s="2" t="inlineStr">
        <is>
          <t>Value</t>
        </is>
      </c>
      <c r="C1" s="2" t="inlineStr">
        <is>
          <t>Households (million)</t>
        </is>
      </c>
      <c r="D1" s="2" t="inlineStr">
        <is>
          <t>Existing capacity (GW)</t>
        </is>
      </c>
      <c r="E1" s="2" t="inlineStr">
        <is>
          <t>Source</t>
        </is>
      </c>
      <c r="F1" s="2" t="inlineStr">
        <is>
          <t>Caveats</t>
        </is>
      </c>
    </row>
    <row r="2">
      <c r="A2" s="2" t="inlineStr">
        <is>
          <t>Primary cookstove is LPG/natural gas</t>
        </is>
      </c>
      <c r="B2" s="2" t="n">
        <v>0.226</v>
      </c>
      <c r="C2" s="2" t="n">
        <v>11.93</v>
      </c>
      <c r="D2" s="2" t="n">
        <v>0.0014</v>
      </c>
      <c r="E2" s="2" t="inlineStr">
        <is>
          <t>NBS_GHSPanelW5 Table 3.6</t>
        </is>
      </c>
      <c r="F2" s="2" t="inlineStr">
        <is>
          <t>Includes natural gas stoves; piped natural gas stove listed separately at 0.6%. Used.</t>
        </is>
      </c>
    </row>
    <row r="3">
      <c r="A3" s="2" t="inlineStr">
        <is>
          <t>Households using LPG as a cooking fuel</t>
        </is>
      </c>
      <c r="B3" s="2" t="n">
        <v>0.232</v>
      </c>
      <c r="C3" s="2" t="n">
        <v>12.25</v>
      </c>
      <c r="D3" s="2" t="n">
        <v>0.0014</v>
      </c>
      <c r="E3" s="2" t="inlineStr">
        <is>
          <t>NBS_GHSPanelW5 Table 3.8 and key findings p. 3</t>
        </is>
      </c>
      <c r="F3" s="2" t="inlineStr">
        <is>
          <t>Includes households that stack LPG with another main fuel</t>
        </is>
      </c>
    </row>
    <row r="4">
      <c r="A4" s="2" t="inlineStr">
        <is>
          <t>Primary cookstove LPG, urban only</t>
        </is>
      </c>
      <c r="B4" s="2" t="n">
        <v>0.49</v>
      </c>
      <c r="C4" s="2" t="n">
        <v>25.86</v>
      </c>
      <c r="D4" s="2" t="n">
        <v>0.003</v>
      </c>
      <c r="E4" s="2" t="inlineStr">
        <is>
          <t>NBS_GHSPanelW5 Table 3.6</t>
        </is>
      </c>
      <c r="F4" s="2" t="inlineStr">
        <is>
          <t>Not national; shown for context (rural 10.4%)</t>
        </is>
      </c>
    </row>
    <row r="5">
      <c r="A5" s="2" t="inlineStr">
        <is>
          <t>Note: manufactured biomass stove as primary cookstove</t>
        </is>
      </c>
      <c r="B5" s="2" t="n">
        <v>0.001</v>
      </c>
      <c r="C5" s="2" t="n">
        <v>0.053</v>
      </c>
      <c r="D5" s="2" t="n">
        <v>0</v>
      </c>
      <c r="E5" s="2" t="inlineStr">
        <is>
          <t>NBS_GHSPanelW5 Table 3.6</t>
        </is>
      </c>
      <c r="F5" s="2" t="inlineStr">
        <is>
          <t>Not specific to husk; stage-1 improved stove existing capacity kept at 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18" customWidth="1" min="3" max="3"/>
    <col width="14" customWidth="1" min="4" max="4"/>
    <col width="30" customWidth="1" min="5" max="5"/>
    <col width="30" customWidth="1" min="6" max="6"/>
    <col width="60" customWidth="1" min="7" max="7"/>
  </cols>
  <sheetData>
    <row r="1">
      <c r="A1" s="2" t="inlineStr">
        <is>
          <t>Item</t>
        </is>
      </c>
      <c r="B1" s="2" t="inlineStr">
        <is>
          <t>Option</t>
        </is>
      </c>
      <c r="C1" s="2" t="inlineStr">
        <is>
          <t>Value</t>
        </is>
      </c>
      <c r="D1" s="2" t="inlineStr">
        <is>
          <t>Unit</t>
        </is>
      </c>
      <c r="E1" s="2" t="inlineStr">
        <is>
          <t>Model value</t>
        </is>
      </c>
      <c r="F1" s="2" t="inlineStr">
        <is>
          <t>Source</t>
        </is>
      </c>
      <c r="G1" s="2" t="inlineStr">
        <is>
          <t>Caveats</t>
        </is>
      </c>
    </row>
    <row r="2">
      <c r="A2" s="2" t="inlineStr">
        <is>
          <t>Price of husk at mill gate</t>
        </is>
      </c>
      <c r="B2" s="2" t="inlineStr">
        <is>
          <t>Zero (waste, dumped or burned)</t>
        </is>
      </c>
      <c r="C2" s="2" t="inlineStr">
        <is>
          <t>0</t>
        </is>
      </c>
      <c r="D2" s="2" t="inlineStr">
        <is>
          <t>USD/t</t>
        </is>
      </c>
      <c r="E2" s="2" t="inlineStr">
        <is>
          <t>husk_price 0</t>
        </is>
      </c>
      <c r="F2" s="2" t="inlineStr">
        <is>
          <t>Mulugetta_Abakaliki; Iye2013_availability</t>
        </is>
      </c>
      <c r="G2" s="2" t="inlineStr">
        <is>
          <t>Husk is dumped or burned at most mills; no Nigerian price found</t>
        </is>
      </c>
    </row>
    <row r="3">
      <c r="A3" s="2" t="inlineStr">
        <is>
          <t>Collection and handling cost</t>
        </is>
      </c>
      <c r="B3" s="2" t="inlineStr">
        <is>
          <t>Ghana husk logistics cost (2014 USD)</t>
        </is>
      </c>
      <c r="C3" s="2" t="inlineStr">
        <is>
          <t>2.64</t>
        </is>
      </c>
      <c r="D3" s="2" t="inlineStr">
        <is>
          <t>USD/t</t>
        </is>
      </c>
      <c r="E3" s="2" t="inlineStr">
        <is>
          <t>0.625 kUSD/GWh (before CPI)</t>
        </is>
      </c>
      <c r="F3" s="2" t="inlineStr">
        <is>
          <t>DTU_GhanaLogistics</t>
        </is>
      </c>
      <c r="G3" s="2" t="inlineStr">
        <is>
          <t>1 t husk = 4.224 MWh at 15.205 MJ/kg; 10 km roundtrip, gasifier plant; CPI 2014 to 2025 not applied</t>
        </is>
      </c>
    </row>
    <row r="4">
      <c r="A4" s="2" t="inlineStr">
        <is>
          <t>Collection and handling cost</t>
        </is>
      </c>
      <c r="B4" s="2" t="inlineStr">
        <is>
          <t>Ghana straw logistics, for comparison</t>
        </is>
      </c>
      <c r="C4" s="2" t="inlineStr">
        <is>
          <t>39 to 48</t>
        </is>
      </c>
      <c r="D4" s="2" t="inlineStr">
        <is>
          <t>USD/t</t>
        </is>
      </c>
      <c r="E4" s="2" t="inlineStr">
        <is>
          <t>not applicable</t>
        </is>
      </c>
      <c r="F4" s="2" t="inlineStr">
        <is>
          <t>DTU_GhanaLogistics</t>
        </is>
      </c>
      <c r="G4" s="2" t="inlineStr">
        <is>
          <t>Straw is bulkier and field-collected; shows the husk figure is low because it is mill-based</t>
        </is>
      </c>
    </row>
    <row r="5">
      <c r="A5" s="2" t="inlineStr">
        <is>
          <t>Loss in collection and storage</t>
        </is>
      </c>
      <c r="B5" s="2" t="inlineStr">
        <is>
          <t>10% of residue lost</t>
        </is>
      </c>
      <c r="C5" s="2" t="inlineStr">
        <is>
          <t>10</t>
        </is>
      </c>
      <c r="D5" s="2" t="inlineStr">
        <is>
          <t>% of residue</t>
        </is>
      </c>
      <c r="E5" s="2" t="inlineStr">
        <is>
          <t>collect_loss_factor 1/0.9 = 1.1111</t>
        </is>
      </c>
      <c r="F5" s="2" t="inlineStr">
        <is>
          <t>Okoro2024_losses</t>
        </is>
      </c>
      <c r="G5" s="2" t="inlineStr">
        <is>
          <t>General residue average; check it does not duplicate the collection fraction kappa = 0.4 already in the cascade</t>
        </is>
      </c>
    </row>
    <row r="6">
      <c r="A6" s="2" t="inlineStr">
        <is>
          <t>Loss in collection and storage</t>
        </is>
      </c>
      <c r="B6" s="2" t="inlineStr">
        <is>
          <t>No loss</t>
        </is>
      </c>
      <c r="C6" s="2" t="inlineStr">
        <is>
          <t>0</t>
        </is>
      </c>
      <c r="D6" s="2" t="inlineStr">
        <is>
          <t>%</t>
        </is>
      </c>
      <c r="E6" s="2" t="inlineStr">
        <is>
          <t>collect_loss_factor 1.0</t>
        </is>
      </c>
      <c r="F6" s="2" t="inlineStr">
        <is>
          <t>(current placeholder)</t>
        </is>
      </c>
      <c r="G6" s="2" t="inlineStr"/>
    </row>
    <row r="7">
      <c r="A7" s="2" t="inlineStr">
        <is>
          <t>Competing use U</t>
        </is>
      </c>
      <c r="B7" s="2" t="inlineStr">
        <is>
          <t>None (Iye assumption, 100% available)</t>
        </is>
      </c>
      <c r="C7" s="2" t="inlineStr">
        <is>
          <t>0</t>
        </is>
      </c>
      <c r="D7" s="2" t="inlineStr">
        <is>
          <t>% of R</t>
        </is>
      </c>
      <c r="E7" s="2" t="inlineStr">
        <is>
          <t>U = 0</t>
        </is>
      </c>
      <c r="F7" s="2" t="inlineStr">
        <is>
          <t>Iye2013_availability</t>
        </is>
      </c>
      <c r="G7" s="2" t="inlineStr">
        <is>
          <t>Current register value</t>
        </is>
      </c>
    </row>
    <row r="8">
      <c r="A8" s="2" t="inlineStr">
        <is>
          <t>Competing use U</t>
        </is>
      </c>
      <c r="B8" s="2" t="inlineStr">
        <is>
          <t>Average residue used elsewhere</t>
        </is>
      </c>
      <c r="C8" s="2" t="inlineStr">
        <is>
          <t>25</t>
        </is>
      </c>
      <c r="D8" s="2" t="inlineStr">
        <is>
          <t>% of R</t>
        </is>
      </c>
      <c r="E8" s="2" t="inlineStr">
        <is>
          <t>U = 0.25 x R</t>
        </is>
      </c>
      <c r="F8" s="2" t="inlineStr">
        <is>
          <t>Okoro2024_losses</t>
        </is>
      </c>
      <c r="G8" s="2" t="inlineStr">
        <is>
          <t>All residues, not husk</t>
        </is>
      </c>
    </row>
    <row r="9">
      <c r="A9" s="2" t="inlineStr">
        <is>
          <t>Competing use U</t>
        </is>
      </c>
      <c r="B9" s="2" t="inlineStr">
        <is>
          <t>Kenya husk uses excluding burned/dumped</t>
        </is>
      </c>
      <c r="C9" s="2" t="inlineStr">
        <is>
          <t>about 73 (sum of listed uses)</t>
        </is>
      </c>
      <c r="D9" s="2" t="inlineStr">
        <is>
          <t>% of husk</t>
        </is>
      </c>
      <c r="E9" s="2" t="inlineStr">
        <is>
          <t>would remove most husk</t>
        </is>
      </c>
      <c r="F9" s="2" t="inlineStr">
        <is>
          <t>Mwea2017_uses</t>
        </is>
      </c>
      <c r="G9" s="2" t="inlineStr">
        <is>
          <t>Kenya; includes uses a stove would not compete with (ash, mulch)</t>
        </is>
      </c>
    </row>
    <row r="10">
      <c r="A10" s="2" t="inlineStr">
        <is>
          <t>Capex of collection</t>
        </is>
      </c>
      <c r="B10" s="2" t="inlineStr">
        <is>
          <t>None for mill residue</t>
        </is>
      </c>
      <c r="C10" s="2" t="inlineStr">
        <is>
          <t>0</t>
        </is>
      </c>
      <c r="D10" s="2" t="inlineStr">
        <is>
          <t>USD/kW</t>
        </is>
      </c>
      <c r="E10" s="2" t="inlineStr">
        <is>
          <t>capex_collect 0</t>
        </is>
      </c>
      <c r="F10" s="2" t="inlineStr">
        <is>
          <t>Assumption</t>
        </is>
      </c>
      <c r="G10" s="2" t="inlineStr">
        <is>
          <t>Handling equipment ignored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8" customWidth="1" min="3" max="3"/>
    <col width="70" customWidth="1" min="4" max="4"/>
  </cols>
  <sheetData>
    <row r="1">
      <c r="A1" s="2" t="inlineStr">
        <is>
          <t>Option</t>
        </is>
      </c>
      <c r="B1" s="2" t="inlineStr">
        <is>
          <t>Value</t>
        </is>
      </c>
      <c r="C1" s="2" t="inlineStr">
        <is>
          <t>Source</t>
        </is>
      </c>
      <c r="D1" s="2" t="inlineStr">
        <is>
          <t>Caveats</t>
        </is>
      </c>
    </row>
    <row r="2">
      <c r="A2" s="2" t="inlineStr">
        <is>
          <t>ESONE-Nigeria base case</t>
        </is>
      </c>
      <c r="B2" s="2" t="inlineStr">
        <is>
          <t>10%</t>
        </is>
      </c>
      <c r="C2" s="2" t="inlineStr">
        <is>
          <t>ESONE_Nigeria_SI</t>
        </is>
      </c>
      <c r="D2" s="2" t="inlineStr">
        <is>
          <t>National model; 5-15% sensitivity; real/nominal not stated. Used.</t>
        </is>
      </c>
    </row>
    <row r="3">
      <c r="A3" s="2" t="inlineStr">
        <is>
          <t>Renewable project discount rates, Nigeria 2018</t>
        </is>
      </c>
      <c r="B3" s="2" t="inlineStr">
        <is>
          <t>13.5 to 17%</t>
        </is>
      </c>
      <c r="C3" s="2" t="inlineStr">
        <is>
          <t>GrantThornton2018</t>
        </is>
      </c>
      <c r="D3" s="2" t="inlineStr">
        <is>
          <t>Investor project WACC, nominal likely; not a social discount rate</t>
        </is>
      </c>
    </row>
    <row r="4">
      <c r="A4" s="2" t="inlineStr">
        <is>
          <t>Port Harcourt hybrid system study</t>
        </is>
      </c>
      <c r="B4" s="2" t="inlineStr">
        <is>
          <t>8%</t>
        </is>
      </c>
      <c r="C4" s="2" t="inlineStr">
        <is>
          <t>Frontiers2024_PortHarcourt</t>
        </is>
      </c>
      <c r="D4" s="2" t="inlineStr">
        <is>
          <t>Unsourced assumption</t>
        </is>
      </c>
    </row>
    <row r="5">
      <c r="A5" s="2" t="inlineStr">
        <is>
          <t>CBN monetary policy rate, 18-year median (as quoted)</t>
        </is>
      </c>
      <c r="B5" s="2" t="inlineStr">
        <is>
          <t>12%</t>
        </is>
      </c>
      <c r="C5" s="2" t="inlineStr">
        <is>
          <t>Frontiers2024_PortHarcourt</t>
        </is>
      </c>
      <c r="D5" s="2" t="inlineStr">
        <is>
          <t>Nominal policy rate, not a discount rate</t>
        </is>
      </c>
    </row>
    <row r="6">
      <c r="A6" s="2" t="inlineStr">
        <is>
          <t>Earlier proposal in the data plan</t>
        </is>
      </c>
      <c r="B6" s="2" t="inlineStr">
        <is>
          <t>10 to 12% real</t>
        </is>
      </c>
      <c r="C6" s="2" t="inlineStr">
        <is>
          <t>(my earlier note)</t>
        </is>
      </c>
      <c r="D6" s="2" t="inlineStr">
        <is>
          <t>Not verified against a source; superseded by the figures above</t>
        </is>
      </c>
    </row>
    <row r="7">
      <c r="A7" s="2" t="inlineStr">
        <is>
          <t>ZEN-garden template default</t>
        </is>
      </c>
      <c r="B7" s="2" t="inlineStr">
        <is>
          <t>6%</t>
        </is>
      </c>
      <c r="C7" s="2" t="inlineStr">
        <is>
          <t>template</t>
        </is>
      </c>
      <c r="D7" s="2" t="inlineStr">
        <is>
          <t>Not Nigerian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2026-10-28T10:13:07Z</dcterms:created>
  <dcterms:modified xmlns:dcterms="http://purl.org/dc/terms/" xmlns:xsi="http://www.w3.org/2001/XMLSchema-instance" xsi:type="dcterms:W3CDTF">2026-10-29T06:58:29Z</dcterms:modified>
</cp:coreProperties>
</file>